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velsSemencuks\Downloads\Lattice\"/>
    </mc:Choice>
  </mc:AlternateContent>
  <xr:revisionPtr revIDLastSave="0" documentId="13_ncr:1_{B6BACA57-0488-4650-B016-096FA4BDE1EE}" xr6:coauthVersionLast="47" xr6:coauthVersionMax="47" xr10:uidLastSave="{00000000-0000-0000-0000-000000000000}"/>
  <bookViews>
    <workbookView xWindow="-76910" yWindow="-110" windowWidth="38620" windowHeight="21100" firstSheet="3" activeTab="2" xr2:uid="{00000000-000D-0000-FFFF-FFFF00000000}"/>
  </bookViews>
  <sheets>
    <sheet name="Original" sheetId="1" r:id="rId1"/>
    <sheet name="Reduced" sheetId="4" state="hidden" r:id="rId2"/>
    <sheet name="LT Rates Reduced" sheetId="5" r:id="rId3"/>
    <sheet name="MS" sheetId="6" r:id="rId4"/>
    <sheet name="Assumptions and notes" sheetId="3" r:id="rId5"/>
    <sheet name="Sheet2" sheetId="2" state="hidden" r:id="rId6"/>
  </sheets>
  <definedNames>
    <definedName name="Agile">Original!$D$83</definedName>
    <definedName name="Buffer">Original!$E$85</definedName>
    <definedName name="Gov">Original!$D$87</definedName>
    <definedName name="Producer">Original!$D$85</definedName>
    <definedName name="QA">Original!$E$83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6" l="1"/>
  <c r="H4" i="6"/>
  <c r="H5" i="6"/>
  <c r="L5" i="6"/>
  <c r="M5" i="6"/>
  <c r="O5" i="6" s="1"/>
  <c r="N5" i="6"/>
  <c r="H6" i="6"/>
  <c r="L6" i="6" s="1"/>
  <c r="I6" i="6"/>
  <c r="M6" i="6"/>
  <c r="O6" i="6"/>
  <c r="K7" i="6"/>
  <c r="K8" i="6" s="1"/>
  <c r="J7" i="6"/>
  <c r="F7" i="6"/>
  <c r="F8" i="6" s="1"/>
  <c r="E7" i="6"/>
  <c r="E8" i="6" s="1"/>
  <c r="D7" i="6"/>
  <c r="D8" i="6" s="1"/>
  <c r="C7" i="6"/>
  <c r="C8" i="6" s="1"/>
  <c r="B7" i="6"/>
  <c r="H16" i="5"/>
  <c r="I16" i="5"/>
  <c r="H17" i="5"/>
  <c r="I17" i="5"/>
  <c r="H20" i="5"/>
  <c r="I20" i="5"/>
  <c r="L11" i="5"/>
  <c r="M11" i="5"/>
  <c r="L12" i="5"/>
  <c r="M12" i="5"/>
  <c r="L13" i="5"/>
  <c r="M13" i="5"/>
  <c r="L14" i="5"/>
  <c r="M14" i="5"/>
  <c r="L16" i="5"/>
  <c r="M16" i="5"/>
  <c r="L17" i="5"/>
  <c r="M17" i="5"/>
  <c r="L18" i="5"/>
  <c r="M18" i="5"/>
  <c r="L19" i="5"/>
  <c r="M19" i="5"/>
  <c r="L20" i="5"/>
  <c r="M20" i="5"/>
  <c r="K69" i="5"/>
  <c r="J69" i="5"/>
  <c r="E69" i="5"/>
  <c r="D69" i="5"/>
  <c r="C69" i="5"/>
  <c r="B69" i="5"/>
  <c r="I68" i="5"/>
  <c r="H68" i="5"/>
  <c r="G68" i="5"/>
  <c r="F68" i="5"/>
  <c r="I67" i="5"/>
  <c r="H67" i="5"/>
  <c r="G67" i="5"/>
  <c r="F67" i="5"/>
  <c r="I66" i="5"/>
  <c r="H66" i="5"/>
  <c r="G66" i="5"/>
  <c r="F66" i="5"/>
  <c r="I65" i="5"/>
  <c r="H65" i="5"/>
  <c r="G65" i="5"/>
  <c r="F65" i="5"/>
  <c r="M64" i="5"/>
  <c r="O64" i="5" s="1"/>
  <c r="L64" i="5"/>
  <c r="N64" i="5" s="1"/>
  <c r="I63" i="5"/>
  <c r="H63" i="5"/>
  <c r="I62" i="5"/>
  <c r="H62" i="5"/>
  <c r="I61" i="5"/>
  <c r="H61" i="5"/>
  <c r="M60" i="5"/>
  <c r="O60" i="5" s="1"/>
  <c r="H60" i="5"/>
  <c r="I59" i="5"/>
  <c r="H59" i="5"/>
  <c r="I58" i="5"/>
  <c r="H58" i="5"/>
  <c r="G58" i="5"/>
  <c r="F58" i="5"/>
  <c r="M56" i="5"/>
  <c r="O56" i="5" s="1"/>
  <c r="L56" i="5"/>
  <c r="N56" i="5" s="1"/>
  <c r="I52" i="5"/>
  <c r="H52" i="5"/>
  <c r="G52" i="5"/>
  <c r="F52" i="5"/>
  <c r="I51" i="5"/>
  <c r="H51" i="5"/>
  <c r="I50" i="5"/>
  <c r="H50" i="5"/>
  <c r="N49" i="5"/>
  <c r="I47" i="5"/>
  <c r="H47" i="5"/>
  <c r="G47" i="5"/>
  <c r="F47" i="5"/>
  <c r="I46" i="5"/>
  <c r="H46" i="5"/>
  <c r="G46" i="5"/>
  <c r="F46" i="5"/>
  <c r="N45" i="5"/>
  <c r="I45" i="5"/>
  <c r="H45" i="5"/>
  <c r="G45" i="5"/>
  <c r="M45" i="5" s="1"/>
  <c r="F45" i="5"/>
  <c r="L45" i="5" s="1"/>
  <c r="N44" i="5"/>
  <c r="I44" i="5"/>
  <c r="H44" i="5"/>
  <c r="G44" i="5"/>
  <c r="M44" i="5" s="1"/>
  <c r="F44" i="5"/>
  <c r="L44" i="5" s="1"/>
  <c r="N43" i="5"/>
  <c r="I43" i="5"/>
  <c r="H43" i="5"/>
  <c r="G43" i="5"/>
  <c r="M43" i="5" s="1"/>
  <c r="F43" i="5"/>
  <c r="L43" i="5" s="1"/>
  <c r="N42" i="5"/>
  <c r="N41" i="5"/>
  <c r="I41" i="5"/>
  <c r="H41" i="5"/>
  <c r="G41" i="5"/>
  <c r="M41" i="5" s="1"/>
  <c r="F41" i="5"/>
  <c r="L41" i="5" s="1"/>
  <c r="N40" i="5"/>
  <c r="I40" i="5"/>
  <c r="H40" i="5"/>
  <c r="G40" i="5"/>
  <c r="M40" i="5" s="1"/>
  <c r="F40" i="5"/>
  <c r="L40" i="5" s="1"/>
  <c r="N39" i="5"/>
  <c r="I39" i="5"/>
  <c r="H39" i="5"/>
  <c r="G39" i="5"/>
  <c r="M39" i="5" s="1"/>
  <c r="F39" i="5"/>
  <c r="L39" i="5" s="1"/>
  <c r="N38" i="5"/>
  <c r="I38" i="5"/>
  <c r="H38" i="5"/>
  <c r="G38" i="5"/>
  <c r="M38" i="5" s="1"/>
  <c r="F38" i="5"/>
  <c r="L38" i="5" s="1"/>
  <c r="N37" i="5"/>
  <c r="I37" i="5"/>
  <c r="H37" i="5"/>
  <c r="G37" i="5"/>
  <c r="M37" i="5" s="1"/>
  <c r="F37" i="5"/>
  <c r="L37" i="5" s="1"/>
  <c r="N34" i="5"/>
  <c r="I34" i="5"/>
  <c r="H34" i="5"/>
  <c r="G34" i="5"/>
  <c r="M34" i="5" s="1"/>
  <c r="F34" i="5"/>
  <c r="L34" i="5" s="1"/>
  <c r="N33" i="5"/>
  <c r="I33" i="5"/>
  <c r="H33" i="5"/>
  <c r="G33" i="5"/>
  <c r="M33" i="5" s="1"/>
  <c r="F33" i="5"/>
  <c r="L33" i="5" s="1"/>
  <c r="N32" i="5"/>
  <c r="I32" i="5"/>
  <c r="H32" i="5"/>
  <c r="G32" i="5"/>
  <c r="M32" i="5" s="1"/>
  <c r="F32" i="5"/>
  <c r="L32" i="5" s="1"/>
  <c r="N31" i="5"/>
  <c r="I31" i="5"/>
  <c r="H31" i="5"/>
  <c r="G31" i="5"/>
  <c r="M31" i="5" s="1"/>
  <c r="F31" i="5"/>
  <c r="L31" i="5" s="1"/>
  <c r="N30" i="5"/>
  <c r="I30" i="5"/>
  <c r="H30" i="5"/>
  <c r="G30" i="5"/>
  <c r="M30" i="5" s="1"/>
  <c r="F30" i="5"/>
  <c r="L30" i="5" s="1"/>
  <c r="N29" i="5"/>
  <c r="I29" i="5"/>
  <c r="H29" i="5"/>
  <c r="G29" i="5"/>
  <c r="M29" i="5" s="1"/>
  <c r="F29" i="5"/>
  <c r="L29" i="5" s="1"/>
  <c r="N28" i="5"/>
  <c r="I28" i="5"/>
  <c r="H28" i="5"/>
  <c r="G28" i="5"/>
  <c r="M28" i="5" s="1"/>
  <c r="F28" i="5"/>
  <c r="L28" i="5" s="1"/>
  <c r="N27" i="5"/>
  <c r="I27" i="5"/>
  <c r="M27" i="5" s="1"/>
  <c r="H27" i="5"/>
  <c r="L27" i="5" s="1"/>
  <c r="N25" i="5"/>
  <c r="N24" i="5"/>
  <c r="I24" i="5"/>
  <c r="H24" i="5"/>
  <c r="G24" i="5"/>
  <c r="M24" i="5" s="1"/>
  <c r="F24" i="5"/>
  <c r="L24" i="5" s="1"/>
  <c r="I23" i="5"/>
  <c r="H23" i="5"/>
  <c r="G23" i="5"/>
  <c r="M23" i="5" s="1"/>
  <c r="F23" i="5"/>
  <c r="L23" i="5" s="1"/>
  <c r="I22" i="5"/>
  <c r="H22" i="5"/>
  <c r="G22" i="5"/>
  <c r="M22" i="5" s="1"/>
  <c r="F22" i="5"/>
  <c r="L22" i="5" s="1"/>
  <c r="N21" i="5"/>
  <c r="I21" i="5"/>
  <c r="I69" i="5" s="1"/>
  <c r="H21" i="5"/>
  <c r="H69" i="5" s="1"/>
  <c r="G21" i="5"/>
  <c r="M21" i="5" s="1"/>
  <c r="F21" i="5"/>
  <c r="L21" i="5" s="1"/>
  <c r="O20" i="5"/>
  <c r="N20" i="5"/>
  <c r="N19" i="5"/>
  <c r="N18" i="5"/>
  <c r="N17" i="5"/>
  <c r="N16" i="5"/>
  <c r="N15" i="5"/>
  <c r="G15" i="5"/>
  <c r="F15" i="5"/>
  <c r="N14" i="5"/>
  <c r="N13" i="5"/>
  <c r="N12" i="5"/>
  <c r="N11" i="5"/>
  <c r="M10" i="5"/>
  <c r="O10" i="5" s="1"/>
  <c r="L10" i="5"/>
  <c r="N10" i="5" s="1"/>
  <c r="M8" i="5"/>
  <c r="O8" i="5" s="1"/>
  <c r="L8" i="5"/>
  <c r="N8" i="5" s="1"/>
  <c r="M7" i="5"/>
  <c r="L7" i="5"/>
  <c r="O6" i="5"/>
  <c r="N6" i="5"/>
  <c r="O5" i="5"/>
  <c r="N5" i="5"/>
  <c r="H50" i="4"/>
  <c r="I50" i="4"/>
  <c r="L50" i="4"/>
  <c r="M50" i="4"/>
  <c r="N50" i="4"/>
  <c r="O50" i="4"/>
  <c r="H51" i="4"/>
  <c r="I51" i="4"/>
  <c r="L51" i="4"/>
  <c r="M51" i="4"/>
  <c r="N51" i="4"/>
  <c r="O51" i="4"/>
  <c r="F52" i="4"/>
  <c r="G52" i="4"/>
  <c r="H52" i="4"/>
  <c r="I52" i="4"/>
  <c r="L52" i="4"/>
  <c r="M52" i="4"/>
  <c r="N52" i="4"/>
  <c r="O52" i="4"/>
  <c r="F46" i="4"/>
  <c r="G46" i="4"/>
  <c r="H46" i="4"/>
  <c r="I46" i="4"/>
  <c r="L46" i="4"/>
  <c r="M46" i="4"/>
  <c r="N46" i="4"/>
  <c r="O46" i="4"/>
  <c r="F47" i="4"/>
  <c r="G47" i="4"/>
  <c r="H47" i="4"/>
  <c r="I47" i="4"/>
  <c r="L47" i="4"/>
  <c r="M47" i="4"/>
  <c r="N47" i="4"/>
  <c r="O47" i="4"/>
  <c r="F37" i="4"/>
  <c r="G37" i="4"/>
  <c r="H37" i="4"/>
  <c r="I37" i="4"/>
  <c r="L37" i="4"/>
  <c r="M37" i="4"/>
  <c r="N37" i="4"/>
  <c r="F38" i="4"/>
  <c r="G38" i="4"/>
  <c r="H38" i="4"/>
  <c r="I38" i="4"/>
  <c r="L38" i="4"/>
  <c r="M38" i="4"/>
  <c r="N38" i="4"/>
  <c r="F41" i="4"/>
  <c r="G41" i="4"/>
  <c r="H41" i="4"/>
  <c r="I41" i="4"/>
  <c r="L41" i="4"/>
  <c r="M41" i="4"/>
  <c r="N41" i="4"/>
  <c r="F31" i="4"/>
  <c r="G31" i="4"/>
  <c r="H31" i="4"/>
  <c r="I31" i="4"/>
  <c r="L31" i="4"/>
  <c r="M31" i="4"/>
  <c r="N31" i="4"/>
  <c r="F32" i="4"/>
  <c r="G32" i="4"/>
  <c r="H32" i="4"/>
  <c r="I32" i="4"/>
  <c r="L32" i="4"/>
  <c r="M32" i="4"/>
  <c r="F33" i="4"/>
  <c r="G33" i="4"/>
  <c r="H33" i="4"/>
  <c r="I33" i="4"/>
  <c r="L33" i="4"/>
  <c r="M33" i="4"/>
  <c r="K69" i="4"/>
  <c r="J69" i="4"/>
  <c r="E69" i="4"/>
  <c r="D69" i="4"/>
  <c r="C69" i="4"/>
  <c r="B69" i="4"/>
  <c r="I68" i="4"/>
  <c r="H68" i="4"/>
  <c r="G68" i="4"/>
  <c r="F68" i="4"/>
  <c r="I67" i="4"/>
  <c r="H67" i="4"/>
  <c r="G67" i="4"/>
  <c r="F67" i="4"/>
  <c r="I66" i="4"/>
  <c r="H66" i="4"/>
  <c r="G66" i="4"/>
  <c r="F66" i="4"/>
  <c r="I65" i="4"/>
  <c r="H65" i="4"/>
  <c r="G65" i="4"/>
  <c r="F65" i="4"/>
  <c r="M64" i="4"/>
  <c r="O64" i="4" s="1"/>
  <c r="L64" i="4"/>
  <c r="N64" i="4" s="1"/>
  <c r="I63" i="4"/>
  <c r="H63" i="4"/>
  <c r="I62" i="4"/>
  <c r="H62" i="4"/>
  <c r="I61" i="4"/>
  <c r="H61" i="4"/>
  <c r="M60" i="4"/>
  <c r="O60" i="4" s="1"/>
  <c r="H60" i="4"/>
  <c r="I59" i="4"/>
  <c r="H59" i="4"/>
  <c r="I58" i="4"/>
  <c r="H58" i="4"/>
  <c r="G58" i="4"/>
  <c r="F58" i="4"/>
  <c r="N33" i="4" s="1"/>
  <c r="N32" i="4"/>
  <c r="M56" i="4"/>
  <c r="O56" i="4" s="1"/>
  <c r="L56" i="4"/>
  <c r="N56" i="4" s="1"/>
  <c r="N49" i="4"/>
  <c r="N45" i="4"/>
  <c r="I45" i="4"/>
  <c r="H45" i="4"/>
  <c r="G45" i="4"/>
  <c r="M45" i="4" s="1"/>
  <c r="F45" i="4"/>
  <c r="L45" i="4" s="1"/>
  <c r="N44" i="4"/>
  <c r="I44" i="4"/>
  <c r="H44" i="4"/>
  <c r="G44" i="4"/>
  <c r="M44" i="4" s="1"/>
  <c r="F44" i="4"/>
  <c r="L44" i="4" s="1"/>
  <c r="N43" i="4"/>
  <c r="I43" i="4"/>
  <c r="H43" i="4"/>
  <c r="G43" i="4"/>
  <c r="M43" i="4" s="1"/>
  <c r="F43" i="4"/>
  <c r="L43" i="4" s="1"/>
  <c r="N42" i="4"/>
  <c r="N40" i="4"/>
  <c r="I40" i="4"/>
  <c r="H40" i="4"/>
  <c r="G40" i="4"/>
  <c r="M40" i="4" s="1"/>
  <c r="F40" i="4"/>
  <c r="L40" i="4" s="1"/>
  <c r="N39" i="4"/>
  <c r="I39" i="4"/>
  <c r="H39" i="4"/>
  <c r="G39" i="4"/>
  <c r="M39" i="4" s="1"/>
  <c r="F39" i="4"/>
  <c r="L39" i="4" s="1"/>
  <c r="N34" i="4"/>
  <c r="I34" i="4"/>
  <c r="H34" i="4"/>
  <c r="G34" i="4"/>
  <c r="M34" i="4" s="1"/>
  <c r="F34" i="4"/>
  <c r="L34" i="4" s="1"/>
  <c r="N30" i="4"/>
  <c r="I30" i="4"/>
  <c r="H30" i="4"/>
  <c r="G30" i="4"/>
  <c r="M30" i="4" s="1"/>
  <c r="F30" i="4"/>
  <c r="L30" i="4" s="1"/>
  <c r="N29" i="4"/>
  <c r="I29" i="4"/>
  <c r="H29" i="4"/>
  <c r="G29" i="4"/>
  <c r="M29" i="4" s="1"/>
  <c r="F29" i="4"/>
  <c r="L29" i="4" s="1"/>
  <c r="N28" i="4"/>
  <c r="I28" i="4"/>
  <c r="H28" i="4"/>
  <c r="G28" i="4"/>
  <c r="M28" i="4" s="1"/>
  <c r="F28" i="4"/>
  <c r="L28" i="4" s="1"/>
  <c r="N27" i="4"/>
  <c r="I27" i="4"/>
  <c r="M27" i="4" s="1"/>
  <c r="H27" i="4"/>
  <c r="L27" i="4" s="1"/>
  <c r="N25" i="4"/>
  <c r="N24" i="4"/>
  <c r="I24" i="4"/>
  <c r="H24" i="4"/>
  <c r="G24" i="4"/>
  <c r="M24" i="4" s="1"/>
  <c r="F24" i="4"/>
  <c r="L24" i="4" s="1"/>
  <c r="I23" i="4"/>
  <c r="H23" i="4"/>
  <c r="G23" i="4"/>
  <c r="M23" i="4" s="1"/>
  <c r="F23" i="4"/>
  <c r="L23" i="4" s="1"/>
  <c r="I22" i="4"/>
  <c r="H22" i="4"/>
  <c r="G22" i="4"/>
  <c r="M22" i="4" s="1"/>
  <c r="F22" i="4"/>
  <c r="L22" i="4" s="1"/>
  <c r="N21" i="4"/>
  <c r="I21" i="4"/>
  <c r="I69" i="4" s="1"/>
  <c r="H21" i="4"/>
  <c r="H69" i="4" s="1"/>
  <c r="G21" i="4"/>
  <c r="M21" i="4" s="1"/>
  <c r="F21" i="4"/>
  <c r="L21" i="4" s="1"/>
  <c r="O20" i="4"/>
  <c r="N20" i="4"/>
  <c r="N19" i="4"/>
  <c r="N18" i="4"/>
  <c r="N17" i="4"/>
  <c r="N16" i="4"/>
  <c r="N15" i="4"/>
  <c r="G15" i="4"/>
  <c r="G69" i="4" s="1"/>
  <c r="F15" i="4"/>
  <c r="F69" i="4" s="1"/>
  <c r="N14" i="4"/>
  <c r="N13" i="4"/>
  <c r="N12" i="4"/>
  <c r="N11" i="4"/>
  <c r="M10" i="4"/>
  <c r="O10" i="4" s="1"/>
  <c r="L10" i="4"/>
  <c r="N10" i="4" s="1"/>
  <c r="M8" i="4"/>
  <c r="O8" i="4" s="1"/>
  <c r="L8" i="4"/>
  <c r="N8" i="4" s="1"/>
  <c r="M7" i="4"/>
  <c r="L7" i="4"/>
  <c r="O6" i="4"/>
  <c r="N6" i="4"/>
  <c r="O5" i="4"/>
  <c r="N5" i="4"/>
  <c r="G15" i="1"/>
  <c r="G21" i="1"/>
  <c r="F15" i="1"/>
  <c r="E68" i="1"/>
  <c r="N48" i="1"/>
  <c r="I21" i="1"/>
  <c r="I22" i="1"/>
  <c r="I23" i="1"/>
  <c r="I24" i="1"/>
  <c r="I26" i="1"/>
  <c r="M26" i="1" s="1"/>
  <c r="I27" i="1"/>
  <c r="I28" i="1"/>
  <c r="I29" i="1"/>
  <c r="I30" i="1"/>
  <c r="I31" i="1"/>
  <c r="I33" i="1"/>
  <c r="I34" i="1"/>
  <c r="I35" i="1"/>
  <c r="M35" i="1" s="1"/>
  <c r="I36" i="1"/>
  <c r="H21" i="1"/>
  <c r="H22" i="1"/>
  <c r="H23" i="1"/>
  <c r="H24" i="1"/>
  <c r="H26" i="1"/>
  <c r="L26" i="1" s="1"/>
  <c r="H27" i="1"/>
  <c r="H28" i="1"/>
  <c r="H29" i="1"/>
  <c r="H30" i="1"/>
  <c r="H31" i="1"/>
  <c r="H33" i="1"/>
  <c r="H34" i="1"/>
  <c r="H35" i="1"/>
  <c r="H36" i="1"/>
  <c r="H37" i="1"/>
  <c r="H38" i="1"/>
  <c r="G22" i="1"/>
  <c r="G23" i="1"/>
  <c r="G24" i="1"/>
  <c r="G27" i="1"/>
  <c r="G28" i="1"/>
  <c r="G29" i="1"/>
  <c r="G30" i="1"/>
  <c r="G31" i="1"/>
  <c r="G33" i="1"/>
  <c r="G34" i="1"/>
  <c r="G35" i="1"/>
  <c r="F21" i="1"/>
  <c r="F22" i="1"/>
  <c r="F23" i="1"/>
  <c r="F24" i="1"/>
  <c r="F27" i="1"/>
  <c r="F28" i="1"/>
  <c r="F29" i="1"/>
  <c r="F30" i="1"/>
  <c r="F31" i="1"/>
  <c r="F33" i="1"/>
  <c r="F34" i="1"/>
  <c r="F35" i="1"/>
  <c r="L35" i="1" s="1"/>
  <c r="F36" i="1"/>
  <c r="F37" i="1"/>
  <c r="F38" i="1"/>
  <c r="I37" i="1"/>
  <c r="I38" i="1"/>
  <c r="M38" i="1" s="1"/>
  <c r="I39" i="1"/>
  <c r="I40" i="1"/>
  <c r="I42" i="1"/>
  <c r="I43" i="1"/>
  <c r="I44" i="1"/>
  <c r="H39" i="1"/>
  <c r="H40" i="1"/>
  <c r="H42" i="1"/>
  <c r="H43" i="1"/>
  <c r="H44" i="1"/>
  <c r="G37" i="1"/>
  <c r="G38" i="1"/>
  <c r="G39" i="1"/>
  <c r="G40" i="1"/>
  <c r="G42" i="1"/>
  <c r="G43" i="1"/>
  <c r="G44" i="1"/>
  <c r="F39" i="1"/>
  <c r="F40" i="1"/>
  <c r="F42" i="1"/>
  <c r="F43" i="1"/>
  <c r="F44" i="1"/>
  <c r="N37" i="1"/>
  <c r="N38" i="1"/>
  <c r="N39" i="1"/>
  <c r="N40" i="1"/>
  <c r="N41" i="1"/>
  <c r="N42" i="1"/>
  <c r="N43" i="1"/>
  <c r="N44" i="1"/>
  <c r="N26" i="1"/>
  <c r="F50" i="1"/>
  <c r="F51" i="1"/>
  <c r="N5" i="1"/>
  <c r="O5" i="1"/>
  <c r="N6" i="1"/>
  <c r="O6" i="1"/>
  <c r="L7" i="1"/>
  <c r="N7" i="1" s="1"/>
  <c r="M7" i="1"/>
  <c r="O7" i="1" s="1"/>
  <c r="L8" i="1"/>
  <c r="N8" i="1" s="1"/>
  <c r="M8" i="1"/>
  <c r="O8" i="1" s="1"/>
  <c r="L9" i="1"/>
  <c r="N9" i="1" s="1"/>
  <c r="M9" i="1"/>
  <c r="O9" i="1" s="1"/>
  <c r="L10" i="1"/>
  <c r="N10" i="1" s="1"/>
  <c r="M10" i="1"/>
  <c r="O10" i="1" s="1"/>
  <c r="F52" i="1"/>
  <c r="G52" i="1"/>
  <c r="H52" i="1"/>
  <c r="I52" i="1"/>
  <c r="G36" i="1"/>
  <c r="F53" i="1"/>
  <c r="G53" i="1"/>
  <c r="H53" i="1"/>
  <c r="I53" i="1"/>
  <c r="G50" i="1"/>
  <c r="G51" i="1"/>
  <c r="H51" i="1"/>
  <c r="I51" i="1"/>
  <c r="F54" i="1"/>
  <c r="G54" i="1"/>
  <c r="H54" i="1"/>
  <c r="I54" i="1"/>
  <c r="F47" i="1"/>
  <c r="G47" i="1"/>
  <c r="H47" i="1"/>
  <c r="I47" i="1"/>
  <c r="L55" i="1"/>
  <c r="N55" i="1" s="1"/>
  <c r="M55" i="1"/>
  <c r="O55" i="1" s="1"/>
  <c r="F56" i="1"/>
  <c r="G56" i="1"/>
  <c r="H56" i="1"/>
  <c r="I56" i="1"/>
  <c r="H58" i="1"/>
  <c r="L58" i="1" s="1"/>
  <c r="I58" i="1"/>
  <c r="M58" i="1" s="1"/>
  <c r="H59" i="1"/>
  <c r="L59" i="1" s="1"/>
  <c r="M59" i="1"/>
  <c r="H60" i="1"/>
  <c r="I60" i="1"/>
  <c r="H61" i="1"/>
  <c r="I61" i="1"/>
  <c r="H62" i="1"/>
  <c r="I62" i="1"/>
  <c r="M62" i="1" s="1"/>
  <c r="L63" i="1"/>
  <c r="M63" i="1"/>
  <c r="F57" i="1"/>
  <c r="G57" i="1"/>
  <c r="H57" i="1"/>
  <c r="I57" i="1"/>
  <c r="F64" i="1"/>
  <c r="G64" i="1"/>
  <c r="H64" i="1"/>
  <c r="I64" i="1"/>
  <c r="F65" i="1"/>
  <c r="G65" i="1"/>
  <c r="H65" i="1"/>
  <c r="I65" i="1"/>
  <c r="F66" i="1"/>
  <c r="G66" i="1"/>
  <c r="H66" i="1"/>
  <c r="I66" i="1"/>
  <c r="F67" i="1"/>
  <c r="G67" i="1"/>
  <c r="H67" i="1"/>
  <c r="I67" i="1"/>
  <c r="F45" i="1"/>
  <c r="G45" i="1"/>
  <c r="H45" i="1"/>
  <c r="I45" i="1"/>
  <c r="F46" i="1"/>
  <c r="G46" i="1"/>
  <c r="H46" i="1"/>
  <c r="I46" i="1"/>
  <c r="K19" i="2"/>
  <c r="J19" i="2"/>
  <c r="E19" i="2"/>
  <c r="D19" i="2"/>
  <c r="C19" i="2"/>
  <c r="B19" i="2"/>
  <c r="G15" i="2"/>
  <c r="F15" i="2"/>
  <c r="G14" i="2"/>
  <c r="F14" i="2"/>
  <c r="G13" i="2"/>
  <c r="F13" i="2"/>
  <c r="G9" i="2"/>
  <c r="F9" i="2"/>
  <c r="I8" i="2"/>
  <c r="H8" i="2"/>
  <c r="G8" i="2"/>
  <c r="F8" i="2"/>
  <c r="I7" i="2"/>
  <c r="H7" i="2"/>
  <c r="G7" i="2"/>
  <c r="F7" i="2"/>
  <c r="I6" i="2"/>
  <c r="H6" i="2"/>
  <c r="G6" i="2"/>
  <c r="F6" i="2"/>
  <c r="I5" i="2"/>
  <c r="H5" i="2"/>
  <c r="G5" i="2"/>
  <c r="F5" i="2"/>
  <c r="K3" i="2"/>
  <c r="J3" i="2"/>
  <c r="G3" i="2"/>
  <c r="F3" i="2"/>
  <c r="E3" i="2"/>
  <c r="D3" i="2"/>
  <c r="C3" i="2"/>
  <c r="B3" i="2"/>
  <c r="C68" i="1"/>
  <c r="D68" i="1"/>
  <c r="J68" i="1"/>
  <c r="K68" i="1"/>
  <c r="B68" i="1"/>
  <c r="F69" i="5" l="1"/>
  <c r="L15" i="5"/>
  <c r="G69" i="5"/>
  <c r="M15" i="5"/>
  <c r="M4" i="6"/>
  <c r="O4" i="6" s="1"/>
  <c r="L4" i="6"/>
  <c r="G7" i="6"/>
  <c r="G8" i="6" s="1"/>
  <c r="N6" i="6"/>
  <c r="N4" i="6"/>
  <c r="H7" i="6"/>
  <c r="H8" i="6" s="1"/>
  <c r="I7" i="6"/>
  <c r="I8" i="6" s="1"/>
  <c r="I9" i="6" s="1"/>
  <c r="I10" i="6" s="1"/>
  <c r="B8" i="6"/>
  <c r="B9" i="6" s="1"/>
  <c r="B10" i="6" s="1"/>
  <c r="J8" i="6"/>
  <c r="J9" i="6" s="1"/>
  <c r="J10" i="6" s="1"/>
  <c r="K9" i="6"/>
  <c r="K10" i="6" s="1"/>
  <c r="K11" i="6" s="1"/>
  <c r="D9" i="6"/>
  <c r="D10" i="6" s="1"/>
  <c r="D13" i="6" s="1"/>
  <c r="M7" i="6"/>
  <c r="M8" i="6" s="1"/>
  <c r="M9" i="6" s="1"/>
  <c r="M10" i="6" s="1"/>
  <c r="C9" i="6"/>
  <c r="C10" i="6" s="1"/>
  <c r="C11" i="6" s="1"/>
  <c r="E9" i="6"/>
  <c r="E10" i="6" s="1"/>
  <c r="E13" i="6" s="1"/>
  <c r="F9" i="6"/>
  <c r="F10" i="6" s="1"/>
  <c r="K13" i="6"/>
  <c r="N7" i="5"/>
  <c r="O7" i="5"/>
  <c r="F70" i="5"/>
  <c r="F71" i="5" s="1"/>
  <c r="F72" i="5" s="1"/>
  <c r="G70" i="5"/>
  <c r="G71" i="5" s="1"/>
  <c r="G72" i="5" s="1"/>
  <c r="H70" i="5"/>
  <c r="H71" i="5" s="1"/>
  <c r="H72" i="5" s="1"/>
  <c r="I70" i="5"/>
  <c r="I71" i="5" s="1"/>
  <c r="I72" i="5" s="1"/>
  <c r="L46" i="5"/>
  <c r="M46" i="5"/>
  <c r="L47" i="5"/>
  <c r="N47" i="5" s="1"/>
  <c r="M47" i="5"/>
  <c r="O47" i="5" s="1"/>
  <c r="L50" i="5"/>
  <c r="N50" i="5" s="1"/>
  <c r="M50" i="5"/>
  <c r="O50" i="5" s="1"/>
  <c r="L51" i="5"/>
  <c r="N51" i="5" s="1"/>
  <c r="M51" i="5"/>
  <c r="O51" i="5" s="1"/>
  <c r="L52" i="5"/>
  <c r="N52" i="5" s="1"/>
  <c r="M52" i="5"/>
  <c r="O52" i="5" s="1"/>
  <c r="L58" i="5"/>
  <c r="N58" i="5" s="1"/>
  <c r="M58" i="5"/>
  <c r="O58" i="5" s="1"/>
  <c r="L59" i="5"/>
  <c r="N59" i="5" s="1"/>
  <c r="M59" i="5"/>
  <c r="O59" i="5" s="1"/>
  <c r="L60" i="5"/>
  <c r="N60" i="5" s="1"/>
  <c r="L61" i="5"/>
  <c r="N61" i="5" s="1"/>
  <c r="M61" i="5"/>
  <c r="O61" i="5" s="1"/>
  <c r="L62" i="5"/>
  <c r="N62" i="5" s="1"/>
  <c r="M62" i="5"/>
  <c r="O62" i="5" s="1"/>
  <c r="L63" i="5"/>
  <c r="N63" i="5" s="1"/>
  <c r="M63" i="5"/>
  <c r="O63" i="5" s="1"/>
  <c r="L65" i="5"/>
  <c r="N65" i="5" s="1"/>
  <c r="M65" i="5"/>
  <c r="O65" i="5" s="1"/>
  <c r="L66" i="5"/>
  <c r="N66" i="5" s="1"/>
  <c r="M66" i="5"/>
  <c r="O66" i="5" s="1"/>
  <c r="L67" i="5"/>
  <c r="N67" i="5" s="1"/>
  <c r="M67" i="5"/>
  <c r="O67" i="5" s="1"/>
  <c r="L68" i="5"/>
  <c r="N68" i="5" s="1"/>
  <c r="M68" i="5"/>
  <c r="O68" i="5" s="1"/>
  <c r="B70" i="5"/>
  <c r="B71" i="5" s="1"/>
  <c r="C70" i="5"/>
  <c r="C71" i="5" s="1"/>
  <c r="C72" i="5" s="1"/>
  <c r="D70" i="5"/>
  <c r="D71" i="5" s="1"/>
  <c r="D72" i="5" s="1"/>
  <c r="E70" i="5"/>
  <c r="E71" i="5" s="1"/>
  <c r="E72" i="5" s="1"/>
  <c r="J70" i="5"/>
  <c r="J71" i="5" s="1"/>
  <c r="J72" i="5" s="1"/>
  <c r="K70" i="5"/>
  <c r="K71" i="5" s="1"/>
  <c r="K72" i="5" s="1"/>
  <c r="N7" i="4"/>
  <c r="O7" i="4"/>
  <c r="F70" i="4"/>
  <c r="F71" i="4" s="1"/>
  <c r="F72" i="4" s="1"/>
  <c r="G70" i="4"/>
  <c r="G71" i="4" s="1"/>
  <c r="G72" i="4" s="1"/>
  <c r="H70" i="4"/>
  <c r="H71" i="4" s="1"/>
  <c r="H72" i="4" s="1"/>
  <c r="I70" i="4"/>
  <c r="I71" i="4" s="1"/>
  <c r="I72" i="4" s="1"/>
  <c r="L58" i="4"/>
  <c r="N58" i="4" s="1"/>
  <c r="M58" i="4"/>
  <c r="O58" i="4" s="1"/>
  <c r="L59" i="4"/>
  <c r="N59" i="4" s="1"/>
  <c r="M59" i="4"/>
  <c r="O59" i="4" s="1"/>
  <c r="L60" i="4"/>
  <c r="N60" i="4" s="1"/>
  <c r="L61" i="4"/>
  <c r="N61" i="4" s="1"/>
  <c r="M61" i="4"/>
  <c r="O61" i="4" s="1"/>
  <c r="L62" i="4"/>
  <c r="N62" i="4" s="1"/>
  <c r="M62" i="4"/>
  <c r="O62" i="4" s="1"/>
  <c r="L63" i="4"/>
  <c r="N63" i="4" s="1"/>
  <c r="M63" i="4"/>
  <c r="O63" i="4" s="1"/>
  <c r="L65" i="4"/>
  <c r="N65" i="4" s="1"/>
  <c r="M65" i="4"/>
  <c r="O65" i="4" s="1"/>
  <c r="L66" i="4"/>
  <c r="N66" i="4" s="1"/>
  <c r="M66" i="4"/>
  <c r="O66" i="4" s="1"/>
  <c r="L67" i="4"/>
  <c r="N67" i="4" s="1"/>
  <c r="M67" i="4"/>
  <c r="O67" i="4" s="1"/>
  <c r="L68" i="4"/>
  <c r="N68" i="4" s="1"/>
  <c r="M68" i="4"/>
  <c r="O68" i="4" s="1"/>
  <c r="B70" i="4"/>
  <c r="B71" i="4" s="1"/>
  <c r="C70" i="4"/>
  <c r="C71" i="4" s="1"/>
  <c r="C72" i="4" s="1"/>
  <c r="D70" i="4"/>
  <c r="D71" i="4" s="1"/>
  <c r="D72" i="4" s="1"/>
  <c r="E70" i="4"/>
  <c r="E71" i="4" s="1"/>
  <c r="E72" i="4" s="1"/>
  <c r="J70" i="4"/>
  <c r="J71" i="4" s="1"/>
  <c r="J72" i="4" s="1"/>
  <c r="K70" i="4"/>
  <c r="K71" i="4" s="1"/>
  <c r="K72" i="4" s="1"/>
  <c r="L43" i="1"/>
  <c r="L44" i="1"/>
  <c r="N11" i="1"/>
  <c r="M39" i="1"/>
  <c r="L42" i="1"/>
  <c r="L28" i="1"/>
  <c r="M44" i="1"/>
  <c r="L40" i="1"/>
  <c r="M42" i="1"/>
  <c r="M43" i="1"/>
  <c r="M33" i="1"/>
  <c r="M34" i="1"/>
  <c r="M37" i="1"/>
  <c r="L39" i="1"/>
  <c r="M40" i="1"/>
  <c r="M28" i="1"/>
  <c r="L24" i="1"/>
  <c r="L34" i="1"/>
  <c r="M27" i="1"/>
  <c r="L23" i="1"/>
  <c r="L33" i="1"/>
  <c r="L31" i="1"/>
  <c r="M24" i="1"/>
  <c r="L30" i="1"/>
  <c r="M23" i="1"/>
  <c r="M22" i="1"/>
  <c r="M21" i="1"/>
  <c r="L27" i="1"/>
  <c r="M29" i="1"/>
  <c r="L29" i="1"/>
  <c r="M31" i="1"/>
  <c r="M30" i="1"/>
  <c r="L22" i="1"/>
  <c r="L21" i="1"/>
  <c r="L37" i="1"/>
  <c r="L38" i="1"/>
  <c r="N13" i="1"/>
  <c r="N20" i="1"/>
  <c r="O20" i="1"/>
  <c r="N12" i="1"/>
  <c r="N15" i="1"/>
  <c r="N14" i="1"/>
  <c r="N17" i="1"/>
  <c r="N16" i="1"/>
  <c r="N19" i="1"/>
  <c r="N18" i="1"/>
  <c r="N21" i="1"/>
  <c r="N25" i="1"/>
  <c r="M54" i="1"/>
  <c r="O54" i="1" s="1"/>
  <c r="N27" i="1"/>
  <c r="N28" i="1"/>
  <c r="N29" i="1"/>
  <c r="N30" i="1"/>
  <c r="N31" i="1"/>
  <c r="N32" i="1"/>
  <c r="N33" i="1"/>
  <c r="N34" i="1"/>
  <c r="N24" i="1"/>
  <c r="N35" i="1"/>
  <c r="M53" i="1"/>
  <c r="O53" i="1" s="1"/>
  <c r="M52" i="1"/>
  <c r="O52" i="1" s="1"/>
  <c r="L52" i="1"/>
  <c r="N52" i="1" s="1"/>
  <c r="M36" i="1"/>
  <c r="O36" i="1" s="1"/>
  <c r="L36" i="1"/>
  <c r="N36" i="1" s="1"/>
  <c r="L62" i="1"/>
  <c r="N62" i="1" s="1"/>
  <c r="M61" i="1"/>
  <c r="O61" i="1" s="1"/>
  <c r="L61" i="1"/>
  <c r="N61" i="1" s="1"/>
  <c r="M60" i="1"/>
  <c r="O60" i="1" s="1"/>
  <c r="L60" i="1"/>
  <c r="N60" i="1" s="1"/>
  <c r="L54" i="1"/>
  <c r="N54" i="1" s="1"/>
  <c r="L53" i="1"/>
  <c r="N53" i="1" s="1"/>
  <c r="L51" i="1"/>
  <c r="N51" i="1" s="1"/>
  <c r="O59" i="1"/>
  <c r="N59" i="1"/>
  <c r="O58" i="1"/>
  <c r="N58" i="1"/>
  <c r="N63" i="1"/>
  <c r="O63" i="1"/>
  <c r="O62" i="1"/>
  <c r="N49" i="1"/>
  <c r="M51" i="1"/>
  <c r="O51" i="1" s="1"/>
  <c r="M50" i="1"/>
  <c r="O50" i="1" s="1"/>
  <c r="L50" i="1"/>
  <c r="N50" i="1" s="1"/>
  <c r="O49" i="1"/>
  <c r="M57" i="1"/>
  <c r="O57" i="1" s="1"/>
  <c r="M47" i="1"/>
  <c r="O47" i="1" s="1"/>
  <c r="L56" i="1"/>
  <c r="N56" i="1" s="1"/>
  <c r="L47" i="1"/>
  <c r="N47" i="1" s="1"/>
  <c r="M66" i="1"/>
  <c r="O66" i="1" s="1"/>
  <c r="L46" i="1"/>
  <c r="N46" i="1" s="1"/>
  <c r="M46" i="1"/>
  <c r="O46" i="1" s="1"/>
  <c r="L67" i="1"/>
  <c r="N67" i="1" s="1"/>
  <c r="L66" i="1"/>
  <c r="N66" i="1" s="1"/>
  <c r="L57" i="1"/>
  <c r="N57" i="1" s="1"/>
  <c r="M67" i="1"/>
  <c r="O67" i="1" s="1"/>
  <c r="M65" i="1"/>
  <c r="O65" i="1" s="1"/>
  <c r="M64" i="1"/>
  <c r="O64" i="1" s="1"/>
  <c r="L64" i="1"/>
  <c r="N64" i="1" s="1"/>
  <c r="M56" i="1"/>
  <c r="O56" i="1" s="1"/>
  <c r="M45" i="1"/>
  <c r="O45" i="1" s="1"/>
  <c r="L65" i="1"/>
  <c r="N65" i="1" s="1"/>
  <c r="L45" i="1"/>
  <c r="N45" i="1" s="1"/>
  <c r="H3" i="2"/>
  <c r="I3" i="2"/>
  <c r="I19" i="2"/>
  <c r="I20" i="2" s="1"/>
  <c r="I21" i="2" s="1"/>
  <c r="I23" i="2" s="1"/>
  <c r="H19" i="2"/>
  <c r="H20" i="2" s="1"/>
  <c r="H21" i="2" s="1"/>
  <c r="H23" i="2" s="1"/>
  <c r="F19" i="2"/>
  <c r="L19" i="2"/>
  <c r="G19" i="2"/>
  <c r="M19" i="2"/>
  <c r="B20" i="2"/>
  <c r="B21" i="2" s="1"/>
  <c r="B23" i="2" s="1"/>
  <c r="C20" i="2"/>
  <c r="C21" i="2" s="1"/>
  <c r="C23" i="2" s="1"/>
  <c r="D20" i="2"/>
  <c r="D21" i="2" s="1"/>
  <c r="D23" i="2" s="1"/>
  <c r="E20" i="2"/>
  <c r="E21" i="2" s="1"/>
  <c r="E23" i="2" s="1"/>
  <c r="J20" i="2"/>
  <c r="J21" i="2" s="1"/>
  <c r="J23" i="2" s="1"/>
  <c r="K20" i="2"/>
  <c r="K21" i="2" s="1"/>
  <c r="K23" i="2" s="1"/>
  <c r="H68" i="1"/>
  <c r="I68" i="1"/>
  <c r="F68" i="1"/>
  <c r="G68" i="1"/>
  <c r="J69" i="1"/>
  <c r="J70" i="1" s="1"/>
  <c r="J71" i="1" s="1"/>
  <c r="B69" i="1"/>
  <c r="B70" i="1" s="1"/>
  <c r="B71" i="1" s="1"/>
  <c r="K69" i="1"/>
  <c r="K70" i="1" s="1"/>
  <c r="K71" i="1" s="1"/>
  <c r="C69" i="1"/>
  <c r="C70" i="1" s="1"/>
  <c r="C71" i="1" s="1"/>
  <c r="G9" i="6" l="1"/>
  <c r="G10" i="6" s="1"/>
  <c r="H9" i="6"/>
  <c r="H10" i="6" s="1"/>
  <c r="H11" i="6" s="1"/>
  <c r="O7" i="6"/>
  <c r="O8" i="6" s="1"/>
  <c r="O9" i="6" s="1"/>
  <c r="O10" i="6" s="1"/>
  <c r="N7" i="6"/>
  <c r="B11" i="6"/>
  <c r="B13" i="6"/>
  <c r="L7" i="6"/>
  <c r="L8" i="6" s="1"/>
  <c r="L9" i="6" s="1"/>
  <c r="L10" i="6" s="1"/>
  <c r="L11" i="6" s="1"/>
  <c r="D11" i="6"/>
  <c r="J11" i="6"/>
  <c r="J13" i="6"/>
  <c r="E11" i="6"/>
  <c r="C13" i="6"/>
  <c r="M11" i="6"/>
  <c r="M13" i="6"/>
  <c r="I11" i="6"/>
  <c r="I13" i="6"/>
  <c r="F11" i="6"/>
  <c r="F13" i="6"/>
  <c r="G11" i="6"/>
  <c r="G13" i="6"/>
  <c r="K75" i="5"/>
  <c r="K73" i="5"/>
  <c r="J75" i="5"/>
  <c r="J73" i="5"/>
  <c r="E75" i="5"/>
  <c r="E73" i="5"/>
  <c r="D75" i="5"/>
  <c r="D73" i="5"/>
  <c r="C75" i="5"/>
  <c r="C73" i="5"/>
  <c r="B72" i="5"/>
  <c r="B73" i="5" s="1"/>
  <c r="N26" i="5"/>
  <c r="M69" i="5"/>
  <c r="O46" i="5"/>
  <c r="L69" i="5"/>
  <c r="N46" i="5"/>
  <c r="I75" i="5"/>
  <c r="I73" i="5"/>
  <c r="H75" i="5"/>
  <c r="H73" i="5"/>
  <c r="G75" i="5"/>
  <c r="G73" i="5"/>
  <c r="F75" i="5"/>
  <c r="F73" i="5"/>
  <c r="O69" i="5"/>
  <c r="N69" i="5"/>
  <c r="B72" i="4"/>
  <c r="N26" i="4"/>
  <c r="K75" i="4"/>
  <c r="K73" i="4"/>
  <c r="J75" i="4"/>
  <c r="J73" i="4"/>
  <c r="E75" i="4"/>
  <c r="E73" i="4"/>
  <c r="D75" i="4"/>
  <c r="D73" i="4"/>
  <c r="C75" i="4"/>
  <c r="C73" i="4"/>
  <c r="B75" i="4"/>
  <c r="B73" i="4"/>
  <c r="M69" i="4"/>
  <c r="L69" i="4"/>
  <c r="I75" i="4"/>
  <c r="I73" i="4"/>
  <c r="H75" i="4"/>
  <c r="H73" i="4"/>
  <c r="G75" i="4"/>
  <c r="G73" i="4"/>
  <c r="F75" i="4"/>
  <c r="F73" i="4"/>
  <c r="O69" i="4"/>
  <c r="N69" i="4"/>
  <c r="O68" i="1"/>
  <c r="O69" i="1" s="1"/>
  <c r="N68" i="1"/>
  <c r="N69" i="1" s="1"/>
  <c r="N70" i="1" s="1"/>
  <c r="N71" i="1" s="1"/>
  <c r="N72" i="1" s="1"/>
  <c r="M68" i="1"/>
  <c r="M69" i="1" s="1"/>
  <c r="M70" i="1" s="1"/>
  <c r="M71" i="1" s="1"/>
  <c r="C74" i="1"/>
  <c r="C72" i="1"/>
  <c r="K74" i="1"/>
  <c r="K72" i="1"/>
  <c r="B74" i="1"/>
  <c r="B72" i="1"/>
  <c r="J74" i="1"/>
  <c r="J72" i="1"/>
  <c r="M20" i="2"/>
  <c r="M21" i="2" s="1"/>
  <c r="M23" i="2" s="1"/>
  <c r="G20" i="2"/>
  <c r="G21" i="2" s="1"/>
  <c r="G23" i="2" s="1"/>
  <c r="L20" i="2"/>
  <c r="L21" i="2" s="1"/>
  <c r="L23" i="2" s="1"/>
  <c r="F20" i="2"/>
  <c r="F21" i="2" s="1"/>
  <c r="F23" i="2" s="1"/>
  <c r="L68" i="1"/>
  <c r="F69" i="1"/>
  <c r="G69" i="1"/>
  <c r="G70" i="1" s="1"/>
  <c r="G71" i="1" s="1"/>
  <c r="H69" i="1"/>
  <c r="H70" i="1" s="1"/>
  <c r="H71" i="1" s="1"/>
  <c r="I69" i="1"/>
  <c r="I70" i="1" s="1"/>
  <c r="I71" i="1" s="1"/>
  <c r="H13" i="6" l="1"/>
  <c r="L13" i="6"/>
  <c r="N8" i="6"/>
  <c r="N9" i="6" s="1"/>
  <c r="N10" i="6" s="1"/>
  <c r="N11" i="6" s="1"/>
  <c r="O13" i="6"/>
  <c r="H17" i="6" s="1"/>
  <c r="O11" i="6"/>
  <c r="N70" i="5"/>
  <c r="N71" i="5" s="1"/>
  <c r="N72" i="5" s="1"/>
  <c r="O70" i="5"/>
  <c r="O71" i="5" s="1"/>
  <c r="O72" i="5" s="1"/>
  <c r="L70" i="5"/>
  <c r="L71" i="5" s="1"/>
  <c r="L72" i="5" s="1"/>
  <c r="M70" i="5"/>
  <c r="M71" i="5" s="1"/>
  <c r="M72" i="5" s="1"/>
  <c r="B75" i="5"/>
  <c r="N70" i="4"/>
  <c r="N71" i="4" s="1"/>
  <c r="N72" i="4" s="1"/>
  <c r="O70" i="4"/>
  <c r="O71" i="4" s="1"/>
  <c r="O72" i="4" s="1"/>
  <c r="L70" i="4"/>
  <c r="L71" i="4" s="1"/>
  <c r="L72" i="4" s="1"/>
  <c r="M70" i="4"/>
  <c r="M71" i="4" s="1"/>
  <c r="M72" i="4" s="1"/>
  <c r="N74" i="1"/>
  <c r="O70" i="1"/>
  <c r="O71" i="1" s="1"/>
  <c r="O74" i="1" s="1"/>
  <c r="F27" i="2"/>
  <c r="M72" i="1"/>
  <c r="M74" i="1"/>
  <c r="I74" i="1"/>
  <c r="I72" i="1"/>
  <c r="H74" i="1"/>
  <c r="H72" i="1"/>
  <c r="G74" i="1"/>
  <c r="G72" i="1"/>
  <c r="H27" i="2"/>
  <c r="F70" i="1"/>
  <c r="F71" i="1" s="1"/>
  <c r="L69" i="1"/>
  <c r="L70" i="1" s="1"/>
  <c r="L71" i="1" s="1"/>
  <c r="E69" i="1"/>
  <c r="D69" i="1"/>
  <c r="N13" i="6" l="1"/>
  <c r="F17" i="6" s="1"/>
  <c r="G17" i="6" s="1"/>
  <c r="F23" i="6" s="1" a="1"/>
  <c r="F23" i="6" s="1"/>
  <c r="G23" i="6" s="1"/>
  <c r="I23" i="6" s="1"/>
  <c r="M75" i="5"/>
  <c r="M73" i="5"/>
  <c r="L75" i="5"/>
  <c r="L73" i="5"/>
  <c r="O75" i="5"/>
  <c r="O73" i="5"/>
  <c r="N75" i="5"/>
  <c r="N73" i="5"/>
  <c r="M75" i="4"/>
  <c r="M73" i="4"/>
  <c r="L75" i="4"/>
  <c r="L73" i="4"/>
  <c r="O75" i="4"/>
  <c r="O73" i="4"/>
  <c r="N75" i="4"/>
  <c r="N73" i="4"/>
  <c r="O72" i="1"/>
  <c r="G27" i="2"/>
  <c r="L74" i="1"/>
  <c r="L72" i="1"/>
  <c r="F74" i="1"/>
  <c r="F72" i="1"/>
  <c r="E70" i="1"/>
  <c r="E71" i="1" s="1"/>
  <c r="E74" i="1" s="1"/>
  <c r="D70" i="1"/>
  <c r="D71" i="1" s="1"/>
  <c r="F79" i="5" l="1"/>
  <c r="H79" i="5"/>
  <c r="F79" i="4"/>
  <c r="H79" i="4"/>
  <c r="D74" i="1"/>
  <c r="F78" i="1" s="1"/>
  <c r="D72" i="1"/>
  <c r="H78" i="1"/>
  <c r="E72" i="1"/>
  <c r="G79" i="5" l="1"/>
  <c r="G79" i="4"/>
  <c r="G78" i="1"/>
  <c r="G85" i="5" l="1" a="1"/>
  <c r="G85" i="5" s="1"/>
  <c r="I85" i="5" s="1"/>
  <c r="K8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<sst xmlns="http://schemas.openxmlformats.org/spreadsheetml/2006/main" count="402" uniqueCount="142">
  <si>
    <t>Task</t>
  </si>
  <si>
    <t>FED Low</t>
  </si>
  <si>
    <t>FED High</t>
  </si>
  <si>
    <t>BED Low</t>
  </si>
  <si>
    <t>BED High</t>
  </si>
  <si>
    <t>Arch Low</t>
  </si>
  <si>
    <t>Arch High</t>
  </si>
  <si>
    <t>QA/BA Low</t>
  </si>
  <si>
    <t>QA/BA High</t>
  </si>
  <si>
    <t>BA Low</t>
  </si>
  <si>
    <t>BA High</t>
  </si>
  <si>
    <t>PM Low</t>
  </si>
  <si>
    <t>PM High</t>
  </si>
  <si>
    <t>Gov Low</t>
  </si>
  <si>
    <t>Gov High</t>
  </si>
  <si>
    <t>Comments</t>
  </si>
  <si>
    <t>Onboarding</t>
  </si>
  <si>
    <t>Project setup</t>
  </si>
  <si>
    <t>Discovery workshops</t>
  </si>
  <si>
    <t>Local Dev Setup</t>
  </si>
  <si>
    <t>Functional Spec</t>
  </si>
  <si>
    <t>ADO test case setup</t>
  </si>
  <si>
    <t>Implementation</t>
  </si>
  <si>
    <t>Content and Layout</t>
  </si>
  <si>
    <t>Content Migration (11,700+ pages)</t>
  </si>
  <si>
    <t>Media Migration</t>
  </si>
  <si>
    <t>Multilingual &amp; Language fallback configuration</t>
  </si>
  <si>
    <t>Component migration</t>
  </si>
  <si>
    <t>Component conversion  (112 in total: 50 simple, 30 medium, 20 hard, 12 search)</t>
  </si>
  <si>
    <t>Create XM Cloud Pages Branches (for self-service pages, unknown count)</t>
  </si>
  <si>
    <t>Convert blog pages into generic XM Cloud pages with taxonomy support (~250 pages)</t>
  </si>
  <si>
    <t>Forms</t>
  </si>
  <si>
    <t>Forms analysis</t>
  </si>
  <si>
    <t>Recreate forms in Sitecore Forms (assume ~10)</t>
  </si>
  <si>
    <t>Field validations, actions, integrations</t>
  </si>
  <si>
    <t>Search Migration (Solr to Sitecore Search)</t>
  </si>
  <si>
    <t>Existing search analysis: understand facets, indexes, PDFs</t>
  </si>
  <si>
    <t>Schema mapping: data fields, tokenization, analyzers</t>
  </si>
  <si>
    <t>Sitecore Search setup: crawl, index, synonyms, stop words</t>
  </si>
  <si>
    <t>PDF indexing setup: Enable parsing and search for PDFs</t>
  </si>
  <si>
    <t>Faceted UI refactoring: changes for new API</t>
  </si>
  <si>
    <t>React component adjustments (to match styling and UX)</t>
  </si>
  <si>
    <t>Security-related</t>
  </si>
  <si>
    <t>User &amp; Role Audit</t>
  </si>
  <si>
    <t>Azure B2C: configure Microsoft Entra ID B2C for XM Cloud, setup user flows</t>
  </si>
  <si>
    <t>Migrate Users &amp; Roles to B2C: create/import users and roles, test mappings, test field claims</t>
  </si>
  <si>
    <t>Send email invitations or password reset links</t>
  </si>
  <si>
    <t>SSO Enablement: Configure OIDC for SSO between XM Cloud &amp; Azure B2C</t>
  </si>
  <si>
    <t>Identify and update workflows to match XM Cloud schema</t>
  </si>
  <si>
    <t>Secure connection XM Cloud to Azure-hosted SMTP (Entra App reg., client secret, scopes)</t>
  </si>
  <si>
    <r>
      <t xml:space="preserve">Azure DevOps CI/CD Setup with </t>
    </r>
    <r>
      <rPr>
        <u/>
        <sz val="11"/>
        <rFont val="Calibri"/>
        <family val="2"/>
        <charset val="204"/>
        <scheme val="minor"/>
      </rPr>
      <t>extra security scan</t>
    </r>
    <r>
      <rPr>
        <sz val="11"/>
        <rFont val="Calibri"/>
        <family val="2"/>
        <scheme val="minor"/>
      </rPr>
      <t xml:space="preserve"> (GitHub + Azure for XM Cloud deploys)</t>
    </r>
  </si>
  <si>
    <t>Miscellaneous</t>
  </si>
  <si>
    <t>Next.js app integrations (Google Analytics, GTM, OneTrust, GetResponse, Zoho, Agiloft)</t>
  </si>
  <si>
    <t>Adjusting styles misalignmanets and adressing scripts issues</t>
  </si>
  <si>
    <t>Compliance and Accessibility</t>
  </si>
  <si>
    <t>Carry over ADA 508: validate and adjust markup for compliance</t>
  </si>
  <si>
    <t>Privacy (cookie, consent, etc.): check changes needed for the new hosting (if any)</t>
  </si>
  <si>
    <t>Code reviews</t>
  </si>
  <si>
    <t>Bug fixes (15% - critical)</t>
  </si>
  <si>
    <t>Additional fixes for all but low bugs</t>
  </si>
  <si>
    <t>Page speed test</t>
  </si>
  <si>
    <t>Pen test issue mitigation</t>
  </si>
  <si>
    <t>Regression test</t>
  </si>
  <si>
    <t>Accessibility issue fixes</t>
  </si>
  <si>
    <t xml:space="preserve">UAT </t>
  </si>
  <si>
    <t>1 week of uat</t>
  </si>
  <si>
    <t>Documentation</t>
  </si>
  <si>
    <t>Technical Design Document</t>
  </si>
  <si>
    <t>Training and handoff sessions</t>
  </si>
  <si>
    <t>Content author training session</t>
  </si>
  <si>
    <t>prep and 1hr session</t>
  </si>
  <si>
    <t>Technical handoff of assets</t>
  </si>
  <si>
    <t>Content authoring videos and manual creation</t>
  </si>
  <si>
    <t xml:space="preserve">authoring manual generated with AI from videos. </t>
  </si>
  <si>
    <t xml:space="preserve">Deployments </t>
  </si>
  <si>
    <t>DEV</t>
  </si>
  <si>
    <t>4 deployments</t>
  </si>
  <si>
    <t>QA</t>
  </si>
  <si>
    <t>PROD</t>
  </si>
  <si>
    <t>1 deployment support</t>
  </si>
  <si>
    <t>Subtotal</t>
  </si>
  <si>
    <t>Agile</t>
  </si>
  <si>
    <t>Total Hours</t>
  </si>
  <si>
    <t>Total w/Buffer</t>
  </si>
  <si>
    <t>Weeks</t>
  </si>
  <si>
    <t>Rate</t>
  </si>
  <si>
    <t>Cost</t>
  </si>
  <si>
    <t>Assumptions</t>
  </si>
  <si>
    <t>Low</t>
  </si>
  <si>
    <t>Mid</t>
  </si>
  <si>
    <t>High</t>
  </si>
  <si>
    <t xml:space="preserve">Changes apply to IB.com only </t>
  </si>
  <si>
    <t>same product workflow reused for new products</t>
  </si>
  <si>
    <t>no roles or access config</t>
  </si>
  <si>
    <t>Figma provided by client</t>
  </si>
  <si>
    <t>Grid used in Figma</t>
  </si>
  <si>
    <t xml:space="preserve">QA </t>
  </si>
  <si>
    <t>PM</t>
  </si>
  <si>
    <t>Buffer</t>
  </si>
  <si>
    <t>Gov</t>
  </si>
  <si>
    <t>Next.js app integrations (GTM, GetResponse, Zoho, Agiloft)</t>
  </si>
  <si>
    <t>Visual regression test</t>
  </si>
  <si>
    <t>Content deployment from local to cloud</t>
  </si>
  <si>
    <t>2 weeks</t>
  </si>
  <si>
    <t>Goal</t>
  </si>
  <si>
    <t>75k</t>
  </si>
  <si>
    <t>95k</t>
  </si>
  <si>
    <t>w/o Rebate</t>
  </si>
  <si>
    <t>Discount</t>
  </si>
  <si>
    <t>Rebate</t>
  </si>
  <si>
    <t>Total Cost</t>
  </si>
  <si>
    <t>Event: Sym or Roadshow</t>
  </si>
  <si>
    <t>Video feedback</t>
  </si>
  <si>
    <t>Webinar</t>
  </si>
  <si>
    <t>MS</t>
  </si>
  <si>
    <t>96k</t>
  </si>
  <si>
    <t>Final</t>
  </si>
  <si>
    <t>We consider Lift &amp; Shift approach to reach XM Cloud as soon as possible</t>
  </si>
  <si>
    <t>We do not consider media migration to the Content Hub - it will retain existing configuration (Media Library + external blob storage)</t>
  </si>
  <si>
    <t>We do not migrate existing xDB since that does not bring any value</t>
  </si>
  <si>
    <t>We do not consider personalization at this scope of work</t>
  </si>
  <si>
    <t xml:space="preserve">GA, default, </t>
  </si>
  <si>
    <t>OneTrust - existing code drop</t>
  </si>
  <si>
    <t>Functional regression testing by the client</t>
  </si>
  <si>
    <t>QA Low</t>
  </si>
  <si>
    <t>QA High</t>
  </si>
  <si>
    <t>License Plate tab FE</t>
  </si>
  <si>
    <t>VIN search tab FE</t>
  </si>
  <si>
    <t>Backend implementation for License plate to vehicle model conversion</t>
  </si>
  <si>
    <t>Backend implementation for VIN to vehicle model conversion</t>
  </si>
  <si>
    <t>Documentation Updates</t>
  </si>
  <si>
    <t>Technical handoff</t>
  </si>
  <si>
    <t>Page speed load test</t>
  </si>
  <si>
    <t>Bugfixing</t>
  </si>
  <si>
    <t>Integration for License-&gt;Car model available</t>
  </si>
  <si>
    <r>
      <t xml:space="preserve">Integration for VIN-&gt;Car model available </t>
    </r>
    <r>
      <rPr>
        <sz val="11"/>
        <color rgb="FFFF0000"/>
        <rFont val="Calibri"/>
        <family val="2"/>
        <scheme val="minor"/>
      </rPr>
      <t>(is it?)</t>
    </r>
  </si>
  <si>
    <t>No new component development, change to existing Stacked finder rendering</t>
  </si>
  <si>
    <t xml:space="preserve">Page load speed test included </t>
  </si>
  <si>
    <t>Performance depends on integrations, no additional cache logic in scope</t>
  </si>
  <si>
    <t>Components developed with accessibility requirements</t>
  </si>
  <si>
    <t>No test automation</t>
  </si>
  <si>
    <t>Most likely FED and BED are same person (then cut onboarding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</si>
</sst>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"/>
    <numFmt numFmtId="165" formatCode="_(&quot;$&quot;* #,##0_);_(&quot;$&quot;* \(#,##0\);_(&quot;$&quot;* &quot;-&quot;??_);_(@_)"/>
    <numFmt numFmtId="166" formatCode="0.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u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8">
    <xf numFmtId="0" fontId="0" fillId="0" borderId="0" xfId="0"/>
    <xf numFmtId="44" fontId="2" fillId="0" borderId="2" xfId="1" applyFont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/>
    <xf numFmtId="0" fontId="4" fillId="2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indent="2"/>
    </xf>
    <xf numFmtId="0" fontId="2" fillId="0" borderId="1" xfId="0" applyFont="1" applyBorder="1" applyAlignment="1">
      <alignment horizontal="left" indent="2"/>
    </xf>
    <xf numFmtId="0" fontId="2" fillId="0" borderId="2" xfId="0" applyFont="1" applyBorder="1" applyAlignment="1">
      <alignment horizontal="left" indent="2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0" xfId="0" applyFont="1" applyAlignment="1">
      <alignment horizontal="left" indent="2"/>
    </xf>
    <xf numFmtId="0" fontId="2" fillId="0" borderId="0" xfId="0" applyFont="1" applyAlignment="1">
      <alignment horizontal="left" wrapText="1"/>
    </xf>
    <xf numFmtId="9" fontId="2" fillId="0" borderId="0" xfId="0" applyNumberFormat="1" applyFont="1"/>
    <xf numFmtId="9" fontId="2" fillId="0" borderId="0" xfId="2" applyFont="1"/>
    <xf numFmtId="164" fontId="2" fillId="0" borderId="0" xfId="0" applyNumberFormat="1" applyFont="1"/>
    <xf numFmtId="165" fontId="4" fillId="0" borderId="0" xfId="1" applyNumberFormat="1" applyFont="1"/>
    <xf numFmtId="165" fontId="2" fillId="0" borderId="0" xfId="1" applyNumberFormat="1" applyFont="1"/>
    <xf numFmtId="164" fontId="2" fillId="0" borderId="1" xfId="0" applyNumberFormat="1" applyFont="1" applyBorder="1"/>
    <xf numFmtId="164" fontId="4" fillId="2" borderId="0" xfId="0" applyNumberFormat="1" applyFont="1" applyFill="1"/>
    <xf numFmtId="164" fontId="2" fillId="0" borderId="2" xfId="0" applyNumberFormat="1" applyFont="1" applyBorder="1" applyAlignment="1">
      <alignment horizontal="left" indent="2"/>
    </xf>
    <xf numFmtId="1" fontId="2" fillId="0" borderId="2" xfId="0" applyNumberFormat="1" applyFont="1" applyBorder="1" applyAlignment="1">
      <alignment horizontal="left" indent="2"/>
    </xf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  <xf numFmtId="0" fontId="2" fillId="0" borderId="0" xfId="0" applyFont="1" applyAlignment="1">
      <alignment horizontal="left" wrapText="1" indent="1"/>
    </xf>
    <xf numFmtId="0" fontId="2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wrapText="1" indent="1"/>
    </xf>
    <xf numFmtId="164" fontId="2" fillId="0" borderId="0" xfId="0" applyNumberFormat="1" applyFont="1" applyAlignment="1">
      <alignment horizontal="center" vertical="center"/>
    </xf>
    <xf numFmtId="166" fontId="2" fillId="0" borderId="0" xfId="0" applyNumberFormat="1" applyFont="1"/>
    <xf numFmtId="9" fontId="2" fillId="0" borderId="0" xfId="0" applyNumberFormat="1" applyFont="1" applyAlignment="1">
      <alignment horizontal="left" wrapText="1" indent="2"/>
    </xf>
    <xf numFmtId="164" fontId="2" fillId="0" borderId="0" xfId="0" applyNumberFormat="1" applyFont="1" applyAlignment="1">
      <alignment horizontal="left" indent="2"/>
    </xf>
    <xf numFmtId="0" fontId="6" fillId="0" borderId="0" xfId="0" applyFont="1" applyAlignment="1">
      <alignment horizontal="left" indent="2"/>
    </xf>
    <xf numFmtId="0" fontId="0" fillId="0" borderId="0" xfId="0" applyAlignment="1">
      <alignment vertical="center" wrapText="1"/>
    </xf>
    <xf numFmtId="0" fontId="7" fillId="0" borderId="0" xfId="0" applyFont="1"/>
    <xf numFmtId="0" fontId="7" fillId="0" borderId="0" xfId="0" applyFont="1" applyAlignment="1">
      <alignment vertical="center" wrapText="1"/>
    </xf>
    <xf numFmtId="164" fontId="8" fillId="0" borderId="0" xfId="0" applyNumberFormat="1" applyFont="1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horizontal="left" vertical="center" wrapText="1" indent="2"/>
    </xf>
    <xf numFmtId="44" fontId="2" fillId="0" borderId="0" xfId="0" applyNumberFormat="1" applyFont="1"/>
    <xf numFmtId="3" fontId="2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10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outline val="0"/>
        <shadow val="0"/>
        <u val="none"/>
        <vertAlign val="baseline"/>
        <color auto="1"/>
        <name val="Calibri"/>
        <family val="2"/>
        <scheme val="minor"/>
      </font>
      <alignment textRotation="0" wrapText="1" indent="0" justifyLastLine="0" shrinkToFit="0" readingOrder="0"/>
    </dxf>
    <dxf>
      <font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  <border diagonalUp="0" diagonalDown="0" outline="0">
        <left/>
        <right/>
        <top/>
        <bottom style="double">
          <color indexed="64"/>
        </bottom>
      </border>
    </dxf>
    <dxf>
      <font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  <border diagonalUp="0" diagonalDown="0" outline="0">
        <left/>
        <right/>
        <top/>
        <bottom style="double">
          <color indexed="64"/>
        </bottom>
      </border>
    </dxf>
    <dxf>
      <font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</dxf>
    <dxf>
      <font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textRotation="0" wrapText="1" indent="0" justifyLastLine="0" shrinkToFit="0" readingOrder="0"/>
    </dxf>
    <dxf>
      <numFmt numFmtId="164" formatCode="0.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  <border diagonalUp="0" diagonalDown="0" outline="0">
        <left/>
        <right/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  <border diagonalUp="0" diagonalDown="0" outline="0">
        <left/>
        <right/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textRotation="0" wrapText="1" indent="0" justifyLastLine="0" shrinkToFit="0" readingOrder="0"/>
    </dxf>
    <dxf>
      <numFmt numFmtId="164" formatCode="0.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  <border diagonalUp="0" diagonalDown="0" outline="0">
        <left/>
        <right/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  <border diagonalUp="0" diagonalDown="0" outline="0">
        <left/>
        <right/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textRotation="0" wrapText="1" indent="0" justifyLastLine="0" shrinkToFit="0" readingOrder="0"/>
    </dxf>
    <dxf>
      <numFmt numFmtId="164" formatCode="0.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  <border diagonalUp="0" diagonalDown="0" outline="0">
        <left/>
        <right/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  <border diagonalUp="0" diagonalDown="0" outline="0">
        <left/>
        <right/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textRotation="0" wrapText="1" indent="0" justifyLastLine="0" shrinkToFit="0" readingOrder="0"/>
    </dxf>
    <dxf>
      <numFmt numFmtId="164" formatCode="0.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  <border diagonalUp="0" diagonalDown="0" outline="0">
        <left/>
        <right/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  <border diagonalUp="0" diagonalDown="0" outline="0">
        <left/>
        <right/>
        <top/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lef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P74" totalsRowShown="0" headerRowDxfId="108" dataDxfId="107">
  <tableColumns count="16">
    <tableColumn id="1" xr3:uid="{00000000-0010-0000-0000-000001000000}" name="Task" dataDxfId="106"/>
    <tableColumn id="11" xr3:uid="{00000000-0010-0000-0000-00000B000000}" name="FED Low" dataDxfId="105"/>
    <tableColumn id="10" xr3:uid="{00000000-0010-0000-0000-00000A000000}" name="FED High" dataDxfId="104"/>
    <tableColumn id="2" xr3:uid="{00000000-0010-0000-0000-000002000000}" name="BED Low" dataDxfId="103"/>
    <tableColumn id="3" xr3:uid="{00000000-0010-0000-0000-000003000000}" name="BED High" dataDxfId="102"/>
    <tableColumn id="4" xr3:uid="{00000000-0010-0000-0000-000004000000}" name="Arch Low" dataDxfId="101"/>
    <tableColumn id="5" xr3:uid="{00000000-0010-0000-0000-000005000000}" name="Arch High" dataDxfId="100"/>
    <tableColumn id="6" xr3:uid="{00000000-0010-0000-0000-000006000000}" name="QA/BA Low" dataDxfId="99"/>
    <tableColumn id="7" xr3:uid="{00000000-0010-0000-0000-000007000000}" name="QA/BA High" dataDxfId="98"/>
    <tableColumn id="12" xr3:uid="{00000000-0010-0000-0000-00000C000000}" name="BA Low" dataDxfId="97"/>
    <tableColumn id="13" xr3:uid="{00000000-0010-0000-0000-00000D000000}" name="BA High" dataDxfId="96"/>
    <tableColumn id="8" xr3:uid="{00000000-0010-0000-0000-000008000000}" name="PM Low" dataDxfId="95"/>
    <tableColumn id="9" xr3:uid="{00000000-0010-0000-0000-000009000000}" name="PM High" dataDxfId="94"/>
    <tableColumn id="16" xr3:uid="{A2842E6A-4F26-45BA-8E79-F575C59E7EFA}" name="Gov Low" dataDxfId="93">
      <calculatedColumnFormula>Gov*SUM(B47,D47,F47,H47)</calculatedColumnFormula>
    </tableColumn>
    <tableColumn id="15" xr3:uid="{10F798CA-45B4-461F-BE55-B22E219531E7}" name="Gov High"/>
    <tableColumn id="14" xr3:uid="{00000000-0010-0000-0000-00000E000000}" name="Comments" dataDxfId="9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F77:H78" totalsRowShown="0" headerRowDxfId="91" dataDxfId="90" dataCellStyle="Currency">
  <autoFilter ref="F77:H78" xr:uid="{00000000-0009-0000-0100-000002000000}"/>
  <tableColumns count="3">
    <tableColumn id="1" xr3:uid="{00000000-0010-0000-0100-000001000000}" name="Low" dataDxfId="89" dataCellStyle="Currency">
      <calculatedColumnFormula>SUM(D74,F74,H74,L74, B74,J74,N74)</calculatedColumnFormula>
    </tableColumn>
    <tableColumn id="2" xr3:uid="{00000000-0010-0000-0100-000002000000}" name="Mid" dataDxfId="88" dataCellStyle="Currency">
      <calculatedColumnFormula>SUM(F78,H78)/2</calculatedColumnFormula>
    </tableColumn>
    <tableColumn id="3" xr3:uid="{00000000-0010-0000-0100-000003000000}" name="High" dataDxfId="87" dataCellStyle="Currency">
      <calculatedColumnFormula>SUM(E74,G74,I74,M74, C74,K74,O74)</calculatedColumnFormula>
    </tableColumn>
  </tableColumns>
  <tableStyleInfo name="TableStyleDark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C5784DE-7662-4185-B850-DC342435BC1C}" name="Table16" displayName="Table16" ref="A2:P75" totalsRowShown="0" headerRowDxfId="86" dataDxfId="85">
  <tableColumns count="16">
    <tableColumn id="1" xr3:uid="{625C3A4D-9D86-4411-BDFE-07880EB9181A}" name="Task" dataDxfId="84"/>
    <tableColumn id="11" xr3:uid="{1D16E039-AD12-4174-AAB2-F712E892B557}" name="FED Low" dataDxfId="83"/>
    <tableColumn id="10" xr3:uid="{33BBA703-07A8-4F4D-BA36-A033AB3B5093}" name="FED High" dataDxfId="82"/>
    <tableColumn id="2" xr3:uid="{C6DC1320-A457-4D9F-AA9B-DFF7BB1447EE}" name="BED Low" dataDxfId="81"/>
    <tableColumn id="3" xr3:uid="{D90441C9-A5EB-4492-9242-D9DEA1C27C58}" name="BED High" dataDxfId="80"/>
    <tableColumn id="4" xr3:uid="{8B0D0F96-22B2-4752-80D9-87CB2C468F8B}" name="Arch Low" dataDxfId="79"/>
    <tableColumn id="5" xr3:uid="{C63E985B-5CA7-4D07-AB65-74992679DA9A}" name="Arch High" dataDxfId="78"/>
    <tableColumn id="6" xr3:uid="{444AC0B7-77A2-41D7-9B96-7669BD56601F}" name="QA/BA Low" dataDxfId="77"/>
    <tableColumn id="7" xr3:uid="{BE6F5DFE-ACDA-44EE-A21E-523B08E0A49E}" name="QA/BA High" dataDxfId="76"/>
    <tableColumn id="12" xr3:uid="{33EE712B-ADE8-4734-AD31-EA680505834A}" name="BA Low" dataDxfId="75"/>
    <tableColumn id="13" xr3:uid="{44CE943F-049C-4C4B-B769-BAA0BBFB660E}" name="BA High" dataDxfId="74"/>
    <tableColumn id="8" xr3:uid="{C1EFED31-F17E-4811-AA25-6FB900032B41}" name="PM Low" dataDxfId="73"/>
    <tableColumn id="9" xr3:uid="{5112E806-6D1D-4B19-BC35-6E0D55A8AF96}" name="PM High" dataDxfId="72"/>
    <tableColumn id="16" xr3:uid="{8D38A0A0-B5FA-481B-A3EA-D56E345225FD}" name="Gov Low" dataDxfId="71">
      <calculatedColumnFormula>Gov*SUM(B48,D48,F48,H48)</calculatedColumnFormula>
    </tableColumn>
    <tableColumn id="15" xr3:uid="{64F3B83B-E1EA-48BD-BE41-48F113250EDC}" name="Gov High"/>
    <tableColumn id="14" xr3:uid="{02DF9094-5316-4B15-950D-5F169C1F2587}" name="Comments" dataDxfId="70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C8B577-AD75-4C55-8507-A4E9F48A3314}" name="Table27" displayName="Table27" ref="F78:H79" totalsRowShown="0" headerRowDxfId="69" dataDxfId="68" dataCellStyle="Currency">
  <autoFilter ref="F78:H79" xr:uid="{2FC8B577-AD75-4C55-8507-A4E9F48A3314}"/>
  <tableColumns count="3">
    <tableColumn id="1" xr3:uid="{A352A922-F606-4D6B-AA2B-6272F0D278F8}" name="Low" dataDxfId="67" dataCellStyle="Currency">
      <calculatedColumnFormula>SUM(D75,F75,H75,L75, B75,J75,N75)</calculatedColumnFormula>
    </tableColumn>
    <tableColumn id="2" xr3:uid="{F747AB7D-230E-4143-96AB-E22038AAE1CF}" name="Mid" dataDxfId="66" dataCellStyle="Currency">
      <calculatedColumnFormula>SUM(F79,H79)/2</calculatedColumnFormula>
    </tableColumn>
    <tableColumn id="3" xr3:uid="{DF1C3202-3B46-4330-A213-26940793B5AE}" name="High" dataDxfId="65" dataCellStyle="Currency">
      <calculatedColumnFormula>SUM(E75,G75,I75,M75, C75,K75,O75)</calculatedColumnFormula>
    </tableColumn>
  </tableColumns>
  <tableStyleInfo name="TableStyleDark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1343ED7-E188-4EB7-8199-201304B4F843}" name="Table168" displayName="Table168" ref="A2:P75" totalsRowShown="0" headerRowDxfId="64" dataDxfId="63">
  <tableColumns count="16">
    <tableColumn id="1" xr3:uid="{60376EE7-497C-4954-A157-1BBEB6DC44ED}" name="Task" dataDxfId="62"/>
    <tableColumn id="11" xr3:uid="{F777659B-31CF-4AAE-B172-8B11C4FA64E5}" name="FED Low" dataDxfId="61"/>
    <tableColumn id="10" xr3:uid="{FC67874C-A55D-4C3B-AFBD-995E1F15205A}" name="FED High" dataDxfId="60"/>
    <tableColumn id="2" xr3:uid="{51E07104-1C0D-4906-98C1-4C8BA83C7399}" name="BED Low" dataDxfId="59"/>
    <tableColumn id="3" xr3:uid="{B8526BDE-CBA6-4E50-AF62-A3522FC5B9E5}" name="BED High" dataDxfId="58"/>
    <tableColumn id="4" xr3:uid="{E7C40F78-78A5-4C35-B0D3-475E48195E08}" name="Arch Low" dataDxfId="57"/>
    <tableColumn id="5" xr3:uid="{B4D0F653-FBC6-49C2-8798-57E64DC4883E}" name="Arch High" dataDxfId="56"/>
    <tableColumn id="6" xr3:uid="{9006ADD2-B8F0-4AF6-BC10-FD040FA9D435}" name="QA/BA Low" dataDxfId="55"/>
    <tableColumn id="7" xr3:uid="{6E1612D3-2BED-4095-ACCF-C3054AE150E7}" name="QA/BA High" dataDxfId="54"/>
    <tableColumn id="12" xr3:uid="{A91C8680-4B7C-4779-9E5A-9C2E43307849}" name="BA Low" dataDxfId="53"/>
    <tableColumn id="13" xr3:uid="{06726F5B-10AA-4A72-931A-C9FF30A1B2EF}" name="BA High" dataDxfId="52"/>
    <tableColumn id="8" xr3:uid="{6869BDA1-9BB5-451E-8855-FCBFE496D69E}" name="PM Low" dataDxfId="51"/>
    <tableColumn id="9" xr3:uid="{0683F869-361F-4E4C-91E4-AB29BC3C931C}" name="PM High" dataDxfId="50"/>
    <tableColumn id="16" xr3:uid="{2816BE3D-4D79-4F5A-A8CB-5FBC2B4EC3FD}" name="Gov Low" dataDxfId="49">
      <calculatedColumnFormula>Gov*SUM(B48,D48,F48,H48)</calculatedColumnFormula>
    </tableColumn>
    <tableColumn id="15" xr3:uid="{EA69F1DA-196F-412A-A78E-B9933F0319CF}" name="Gov High"/>
    <tableColumn id="14" xr3:uid="{5841A130-91B9-41DE-825C-7585BFD8EF10}" name="Comments" dataDxfId="4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AFB8C0-A23F-403C-A911-BE5B04E4E990}" name="Table279" displayName="Table279" ref="F78:H79" totalsRowShown="0" headerRowDxfId="47" dataDxfId="46" dataCellStyle="Currency">
  <autoFilter ref="F78:H79" xr:uid="{19AFB8C0-A23F-403C-A911-BE5B04E4E990}"/>
  <tableColumns count="3">
    <tableColumn id="1" xr3:uid="{F8C7B035-09F3-47AD-BEA6-F85857E23A0E}" name="Low" dataDxfId="45" dataCellStyle="Currency">
      <calculatedColumnFormula>SUM(D75,F75,H75,L75, B75,J75,N75)</calculatedColumnFormula>
    </tableColumn>
    <tableColumn id="2" xr3:uid="{693CFC06-5B3B-4B30-8ED9-7AB526E0774D}" name="Mid" dataDxfId="44" dataCellStyle="Currency">
      <calculatedColumnFormula>SUM(F79,H79)/2</calculatedColumnFormula>
    </tableColumn>
    <tableColumn id="3" xr3:uid="{E67F1CF3-3758-4B32-B67E-A76B3A713EBA}" name="High" dataDxfId="43" dataCellStyle="Currency">
      <calculatedColumnFormula>SUM(E75,G75,I75,M75, C75,K75,O75)</calculatedColumnFormula>
    </tableColumn>
  </tableColumns>
  <tableStyleInfo name="TableStyleDark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25AB117-3E4F-4BE6-BE58-23E6C755B145}" name="Table16810" displayName="Table16810" ref="A2:P13" totalsRowShown="0" headerRowDxfId="42" dataDxfId="41">
  <tableColumns count="16">
    <tableColumn id="1" xr3:uid="{1E983469-9C96-44CE-994E-F5475D7F87D7}" name="Task" dataDxfId="40"/>
    <tableColumn id="11" xr3:uid="{A4BCABE3-C4A0-4730-AFC5-88495769B643}" name="FED Low" dataDxfId="39"/>
    <tableColumn id="10" xr3:uid="{C49C0D3B-B87D-4032-B7A5-7FE092AA32C3}" name="FED High" dataDxfId="38"/>
    <tableColumn id="2" xr3:uid="{9D13A980-FC0A-46CD-895B-AF7CFDFBE393}" name="BED Low" dataDxfId="37"/>
    <tableColumn id="3" xr3:uid="{6D9D6017-8BCF-418B-A764-1A6A317181D2}" name="BED High" dataDxfId="36"/>
    <tableColumn id="4" xr3:uid="{942018B6-140F-47BD-9B87-C6B42AEB62E3}" name="Arch Low" dataDxfId="35"/>
    <tableColumn id="5" xr3:uid="{3E21C755-D4F4-4133-B9A8-8EFDBEEB5AA1}" name="Arch High" dataDxfId="34"/>
    <tableColumn id="6" xr3:uid="{D275FABD-1247-4553-9962-F143F4B89846}" name="QA/BA Low" dataDxfId="33"/>
    <tableColumn id="7" xr3:uid="{A133C118-10F2-4C7F-931D-31AE9983EDE4}" name="QA/BA High" dataDxfId="32"/>
    <tableColumn id="12" xr3:uid="{B9302204-0F38-417A-9DAA-821AF0BB8FED}" name="BA Low" dataDxfId="31"/>
    <tableColumn id="13" xr3:uid="{A04E3B4C-D829-42B7-8F7A-837ADA9FA913}" name="BA High" dataDxfId="30"/>
    <tableColumn id="8" xr3:uid="{FF937955-3342-4931-9A7B-AE2C8EB8541B}" name="PM Low" dataDxfId="29"/>
    <tableColumn id="9" xr3:uid="{FBFD5240-1268-4050-BE43-09DA853F96D6}" name="PM High" dataDxfId="28"/>
    <tableColumn id="16" xr3:uid="{89FD4CE7-22E3-424E-94F3-F20F7813066C}" name="Gov Low" dataDxfId="27">
      <calculatedColumnFormula>Gov*SUM(#REF!,#REF!,#REF!,#REF!)</calculatedColumnFormula>
    </tableColumn>
    <tableColumn id="15" xr3:uid="{225DA420-F5A6-4A82-9F09-7698BC29268F}" name="Gov High"/>
    <tableColumn id="14" xr3:uid="{EF7A2307-AAA0-400E-A891-3443C2BCB3B0}" name="Comments" dataDxfId="26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6AE57A9-949E-4CD3-80CF-6326C23C59AD}" name="Table27911" displayName="Table27911" ref="F16:H17" totalsRowShown="0" headerRowDxfId="25" dataDxfId="24" dataCellStyle="Currency">
  <autoFilter ref="F16:H17" xr:uid="{D6AE57A9-949E-4CD3-80CF-6326C23C59AD}"/>
  <tableColumns count="3">
    <tableColumn id="1" xr3:uid="{722ED52C-0134-4A1F-94E3-3E039C0B6CC1}" name="Low" dataDxfId="23" dataCellStyle="Currency">
      <calculatedColumnFormula>SUM(D13,F13,H13,L13, B13,J13,N13)</calculatedColumnFormula>
    </tableColumn>
    <tableColumn id="2" xr3:uid="{E3B78B8D-7BDD-407D-AEC4-1AF5B2AFD7DE}" name="Mid" dataDxfId="22" dataCellStyle="Currency">
      <calculatedColumnFormula>SUM(F17,H17)/2</calculatedColumnFormula>
    </tableColumn>
    <tableColumn id="3" xr3:uid="{0680B47B-A28F-48AA-8F44-C52290CC3CF7}" name="High" dataDxfId="21" dataCellStyle="Currency">
      <calculatedColumnFormula>SUM(E13,G13,I13,M13, C13,K13,O13)</calculatedColumnFormula>
    </tableColumn>
  </tableColumns>
  <tableStyleInfo name="TableStyleDark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35A9D73-6006-4DA5-9C22-B42ADB4DBA62}" name="Table14" displayName="Table14" ref="A2:N23" totalsRowShown="0" headerRowDxfId="20" dataDxfId="19">
  <tableColumns count="14">
    <tableColumn id="1" xr3:uid="{E843ACCD-E77D-4A48-BBD9-2475CEAFF937}" name="Task" dataDxfId="18"/>
    <tableColumn id="11" xr3:uid="{9C056060-84B4-4864-9208-49C585CE6901}" name="FED Low" dataDxfId="17"/>
    <tableColumn id="10" xr3:uid="{782BB949-E1FD-486E-B8AE-D497BA1CAE62}" name="FED High" dataDxfId="16"/>
    <tableColumn id="2" xr3:uid="{52DBABBD-9F8D-4B1D-BB43-E17649C9F5BA}" name="BED Low" dataDxfId="15"/>
    <tableColumn id="3" xr3:uid="{7E42C028-48D2-4D4B-B3AF-802B43C72472}" name="BED High" dataDxfId="14"/>
    <tableColumn id="4" xr3:uid="{90550EEB-E5FF-4F23-88C8-C6A74C4B817F}" name="Arch Low" dataDxfId="13"/>
    <tableColumn id="5" xr3:uid="{255AB269-A099-4F51-9D51-0248EB34B5D6}" name="Arch High" dataDxfId="12"/>
    <tableColumn id="6" xr3:uid="{4BCC0E1E-613B-4574-8827-E1B79C4BE1A5}" name="QA Low" dataDxfId="11"/>
    <tableColumn id="7" xr3:uid="{DD19012D-F9F2-4334-B8E4-A12C992D187B}" name="QA High" dataDxfId="10"/>
    <tableColumn id="12" xr3:uid="{DFE74FD0-5E60-43CC-A1E6-1E757025B472}" name="BA Low" dataDxfId="9"/>
    <tableColumn id="13" xr3:uid="{20BCFAC0-9BE2-4851-93BA-816E1539D20F}" name="BA High" dataDxfId="8"/>
    <tableColumn id="8" xr3:uid="{854C1378-2DC5-43C7-A48B-3D52532B771E}" name="PM Low" dataDxfId="7"/>
    <tableColumn id="9" xr3:uid="{D4F103DC-893B-4CB5-AB44-F2ABC7328A06}" name="PM High" dataDxfId="6"/>
    <tableColumn id="14" xr3:uid="{5731C6D1-FB1D-4253-844D-CFA4334F5C4C}" name="Comments" dataDxfId="5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219DE7-FAFB-4E94-B1C3-598250A6CFDB}" name="Table25" displayName="Table25" ref="F26:H27" totalsRowShown="0" headerRowDxfId="4" dataDxfId="3" dataCellStyle="Currency">
  <autoFilter ref="F26:H27" xr:uid="{31219DE7-FAFB-4E94-B1C3-598250A6CFDB}"/>
  <tableColumns count="3">
    <tableColumn id="1" xr3:uid="{B65ECC2C-B83D-4D0A-9A25-ACDBB7F3C59E}" name="Low" dataDxfId="2" dataCellStyle="Currency">
      <calculatedColumnFormula>SUM(D23,F23,H23,L23, B23,J23)</calculatedColumnFormula>
    </tableColumn>
    <tableColumn id="2" xr3:uid="{8EF4EA77-CA36-40DB-8807-D04BD061EF8F}" name="Mid" dataDxfId="1" dataCellStyle="Currency">
      <calculatedColumnFormula>SUM(F27,H27)/2</calculatedColumnFormula>
    </tableColumn>
    <tableColumn id="3" xr3:uid="{E64DDEA5-E9D1-4F34-B192-8B4DCFC397C3}" name="High" dataDxfId="0" dataCellStyle="Currency">
      <calculatedColumnFormula>SUM(E23,G23,I23,M23, C23,K23)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93"/>
  <sheetViews>
    <sheetView topLeftCell="A75" zoomScaleNormal="100" workbookViewId="0">
      <selection activeCell="C97" sqref="C97"/>
    </sheetView>
  </sheetViews>
  <sheetFormatPr defaultColWidth="9.15625" defaultRowHeight="14.4" x14ac:dyDescent="0.55000000000000004"/>
  <cols>
    <col min="1" max="1" width="76.83984375" style="6" customWidth="1"/>
    <col min="2" max="4" width="9.41796875" style="6" bestFit="1" customWidth="1"/>
    <col min="5" max="5" width="10" style="6" customWidth="1"/>
    <col min="6" max="8" width="13.26171875" style="6" bestFit="1" customWidth="1"/>
    <col min="9" max="9" width="13.26171875" style="6" customWidth="1"/>
    <col min="10" max="11" width="9.41796875" style="6" hidden="1" customWidth="1"/>
    <col min="12" max="12" width="10.83984375" style="6" bestFit="1" customWidth="1"/>
    <col min="13" max="13" width="9.83984375" style="6" bestFit="1" customWidth="1"/>
    <col min="14" max="15" width="9.83984375" style="6" customWidth="1"/>
    <col min="16" max="16" width="84" style="10" customWidth="1"/>
    <col min="17" max="16384" width="9.15625" style="6"/>
  </cols>
  <sheetData>
    <row r="2" spans="1:16" s="2" customFormat="1" ht="24" customHeight="1" x14ac:dyDescent="0.5500000000000000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x14ac:dyDescent="0.55000000000000004">
      <c r="A3" s="4"/>
      <c r="B3" s="4"/>
      <c r="C3" s="4"/>
      <c r="D3" s="4"/>
      <c r="E3" s="4"/>
      <c r="F3" s="24"/>
      <c r="G3" s="4"/>
      <c r="H3" s="4"/>
      <c r="I3" s="4"/>
      <c r="J3" s="4"/>
      <c r="K3" s="4"/>
      <c r="L3" s="4"/>
      <c r="M3" s="4"/>
      <c r="N3" s="24"/>
      <c r="O3" s="4"/>
      <c r="P3" s="5"/>
    </row>
    <row r="4" spans="1:16" s="9" customFormat="1" x14ac:dyDescent="0.55000000000000004">
      <c r="A4" s="29" t="s">
        <v>16</v>
      </c>
      <c r="B4" s="27"/>
      <c r="C4" s="27"/>
      <c r="D4" s="27"/>
      <c r="E4" s="27"/>
      <c r="N4" s="35"/>
      <c r="P4" s="31"/>
    </row>
    <row r="5" spans="1:16" s="9" customFormat="1" x14ac:dyDescent="0.55000000000000004">
      <c r="A5" s="11" t="s">
        <v>17</v>
      </c>
      <c r="B5" s="27">
        <v>0</v>
      </c>
      <c r="C5" s="27">
        <v>0</v>
      </c>
      <c r="D5" s="27">
        <v>0</v>
      </c>
      <c r="E5" s="27">
        <v>0</v>
      </c>
      <c r="F5" s="20">
        <v>1</v>
      </c>
      <c r="G5" s="20">
        <v>1</v>
      </c>
      <c r="H5" s="20">
        <v>4</v>
      </c>
      <c r="I5" s="20">
        <v>4</v>
      </c>
      <c r="J5" s="8"/>
      <c r="K5" s="8"/>
      <c r="L5" s="20">
        <v>4</v>
      </c>
      <c r="M5" s="20">
        <v>6</v>
      </c>
      <c r="N5" s="20">
        <f t="shared" ref="N5" si="0">Gov*SUM(B5,D5,F5,F5,F5,H5,L5)</f>
        <v>0</v>
      </c>
      <c r="O5" s="20">
        <f t="shared" ref="O5" si="1">Gov*SUM(C5,E5,G5,G5,G5,I5,M5)</f>
        <v>0</v>
      </c>
      <c r="P5" s="31"/>
    </row>
    <row r="6" spans="1:16" s="9" customFormat="1" x14ac:dyDescent="0.55000000000000004">
      <c r="A6" s="11" t="s">
        <v>18</v>
      </c>
      <c r="B6" s="27">
        <v>0</v>
      </c>
      <c r="C6" s="27">
        <v>0</v>
      </c>
      <c r="D6" s="27">
        <v>0</v>
      </c>
      <c r="E6" s="27">
        <v>0</v>
      </c>
      <c r="F6" s="27">
        <v>1</v>
      </c>
      <c r="G6" s="27">
        <v>2</v>
      </c>
      <c r="H6" s="27">
        <v>2</v>
      </c>
      <c r="I6" s="27">
        <v>4</v>
      </c>
      <c r="J6" s="28"/>
      <c r="K6" s="28"/>
      <c r="L6" s="27">
        <v>2</v>
      </c>
      <c r="M6" s="27">
        <v>2</v>
      </c>
      <c r="N6" s="20">
        <f t="shared" ref="N6:N10" si="2">Gov*SUM(B6,D6,F6,F6,F6,H6,L6)</f>
        <v>0</v>
      </c>
      <c r="O6" s="20">
        <f t="shared" ref="O6:O10" si="3">Gov*SUM(C6,E6,G6,G6,G6,I6,M6)</f>
        <v>0</v>
      </c>
      <c r="P6" s="33"/>
    </row>
    <row r="7" spans="1:16" s="9" customFormat="1" x14ac:dyDescent="0.55000000000000004">
      <c r="A7" s="11" t="s">
        <v>19</v>
      </c>
      <c r="B7" s="27">
        <v>4</v>
      </c>
      <c r="C7" s="27">
        <v>4</v>
      </c>
      <c r="D7" s="27">
        <v>4</v>
      </c>
      <c r="E7" s="27">
        <v>4</v>
      </c>
      <c r="F7" s="27">
        <v>1</v>
      </c>
      <c r="G7" s="27">
        <v>1</v>
      </c>
      <c r="H7" s="27"/>
      <c r="I7" s="27"/>
      <c r="J7" s="28"/>
      <c r="K7" s="28"/>
      <c r="L7" s="27">
        <f t="shared" ref="L7:L10" si="4">Producer*SUM(B7,D7,F7,H7)</f>
        <v>1.3499999999999999</v>
      </c>
      <c r="M7" s="27">
        <f t="shared" ref="M7:M10" si="5">Producer*SUM(B7,E7,G7,I7)</f>
        <v>1.3499999999999999</v>
      </c>
      <c r="N7" s="20">
        <f t="shared" si="2"/>
        <v>0</v>
      </c>
      <c r="O7" s="20">
        <f t="shared" si="3"/>
        <v>0</v>
      </c>
      <c r="P7" s="33"/>
    </row>
    <row r="8" spans="1:16" s="9" customFormat="1" x14ac:dyDescent="0.55000000000000004">
      <c r="A8" s="11" t="s">
        <v>20</v>
      </c>
      <c r="B8" s="27">
        <v>0</v>
      </c>
      <c r="C8" s="27">
        <v>0</v>
      </c>
      <c r="D8" s="27">
        <v>0</v>
      </c>
      <c r="E8" s="27">
        <v>0</v>
      </c>
      <c r="F8" s="27">
        <v>2</v>
      </c>
      <c r="G8" s="27">
        <v>3</v>
      </c>
      <c r="H8" s="27">
        <v>16</v>
      </c>
      <c r="I8" s="27">
        <v>20</v>
      </c>
      <c r="J8" s="28"/>
      <c r="K8" s="28"/>
      <c r="L8" s="27">
        <f t="shared" si="4"/>
        <v>2.6999999999999997</v>
      </c>
      <c r="M8" s="27">
        <f t="shared" si="5"/>
        <v>3.4499999999999997</v>
      </c>
      <c r="N8" s="20">
        <f t="shared" si="2"/>
        <v>0</v>
      </c>
      <c r="O8" s="20">
        <f t="shared" si="3"/>
        <v>0</v>
      </c>
      <c r="P8" s="33"/>
    </row>
    <row r="9" spans="1:16" s="9" customFormat="1" x14ac:dyDescent="0.55000000000000004">
      <c r="A9" s="11" t="s">
        <v>21</v>
      </c>
      <c r="B9" s="27">
        <v>0</v>
      </c>
      <c r="C9" s="27">
        <v>0</v>
      </c>
      <c r="D9" s="27">
        <v>0</v>
      </c>
      <c r="E9" s="27">
        <v>0</v>
      </c>
      <c r="F9" s="27">
        <v>2</v>
      </c>
      <c r="G9" s="27">
        <v>3</v>
      </c>
      <c r="H9" s="27">
        <v>16</v>
      </c>
      <c r="I9" s="27">
        <v>20</v>
      </c>
      <c r="J9" s="28"/>
      <c r="K9" s="28"/>
      <c r="L9" s="27">
        <f t="shared" si="4"/>
        <v>2.6999999999999997</v>
      </c>
      <c r="M9" s="27">
        <f t="shared" si="5"/>
        <v>3.4499999999999997</v>
      </c>
      <c r="N9" s="20">
        <f t="shared" si="2"/>
        <v>0</v>
      </c>
      <c r="O9" s="20">
        <f t="shared" si="3"/>
        <v>0</v>
      </c>
      <c r="P9" s="33"/>
    </row>
    <row r="10" spans="1:16" s="9" customFormat="1" x14ac:dyDescent="0.55000000000000004">
      <c r="A10" s="29" t="s">
        <v>22</v>
      </c>
      <c r="B10" s="27"/>
      <c r="C10" s="27"/>
      <c r="D10" s="27"/>
      <c r="E10" s="27"/>
      <c r="F10" s="27"/>
      <c r="G10" s="27"/>
      <c r="H10" s="27"/>
      <c r="I10" s="27"/>
      <c r="J10" s="28"/>
      <c r="K10" s="28"/>
      <c r="L10" s="27">
        <f t="shared" si="4"/>
        <v>0</v>
      </c>
      <c r="M10" s="27">
        <f t="shared" si="5"/>
        <v>0</v>
      </c>
      <c r="N10" s="20">
        <f t="shared" si="2"/>
        <v>0</v>
      </c>
      <c r="O10" s="20">
        <f t="shared" si="3"/>
        <v>0</v>
      </c>
      <c r="P10" s="33"/>
    </row>
    <row r="11" spans="1:16" s="9" customFormat="1" x14ac:dyDescent="0.55000000000000004">
      <c r="A11" s="16"/>
      <c r="B11" s="38"/>
      <c r="C11" s="38"/>
      <c r="D11" s="27"/>
      <c r="E11" s="27"/>
      <c r="F11" s="27"/>
      <c r="G11" s="27"/>
      <c r="H11" s="27"/>
      <c r="I11" s="27"/>
      <c r="J11" s="28"/>
      <c r="K11" s="28"/>
      <c r="L11" s="27"/>
      <c r="M11" s="27"/>
      <c r="N11" s="20">
        <f>Gov*SUM(B56,D56,F56,H56)</f>
        <v>0</v>
      </c>
      <c r="O11" s="20"/>
      <c r="P11" s="30"/>
    </row>
    <row r="12" spans="1:16" s="9" customFormat="1" x14ac:dyDescent="0.55000000000000004">
      <c r="A12" s="41" t="s">
        <v>23</v>
      </c>
      <c r="B12" s="38"/>
      <c r="C12" s="38"/>
      <c r="D12" s="27"/>
      <c r="E12" s="27"/>
      <c r="F12" s="27"/>
      <c r="G12" s="27"/>
      <c r="H12" s="27"/>
      <c r="I12" s="27"/>
      <c r="J12" s="28"/>
      <c r="K12" s="28"/>
      <c r="L12" s="27"/>
      <c r="M12" s="27"/>
      <c r="N12" s="20">
        <f>Gov*SUM(B56,D56,F56,H56)</f>
        <v>0</v>
      </c>
      <c r="O12" s="20"/>
      <c r="P12" s="30"/>
    </row>
    <row r="13" spans="1:16" s="9" customFormat="1" x14ac:dyDescent="0.55000000000000004">
      <c r="A13" s="39" t="s">
        <v>24</v>
      </c>
      <c r="B13" s="38"/>
      <c r="C13" s="38"/>
      <c r="D13" s="27"/>
      <c r="E13" s="27"/>
      <c r="F13" s="27">
        <v>8</v>
      </c>
      <c r="G13" s="27">
        <v>12</v>
      </c>
      <c r="H13" s="27"/>
      <c r="I13" s="27"/>
      <c r="J13" s="28"/>
      <c r="K13" s="28"/>
      <c r="L13" s="27"/>
      <c r="M13" s="27"/>
      <c r="N13" s="20">
        <f>Gov*SUM(B56,D56,F56,H56)</f>
        <v>0</v>
      </c>
      <c r="O13" s="20"/>
      <c r="P13" s="30"/>
    </row>
    <row r="14" spans="1:16" s="9" customFormat="1" x14ac:dyDescent="0.55000000000000004">
      <c r="A14" s="11" t="s">
        <v>25</v>
      </c>
      <c r="B14" s="38"/>
      <c r="C14" s="38"/>
      <c r="D14" s="27"/>
      <c r="E14" s="27"/>
      <c r="F14" s="27">
        <v>3</v>
      </c>
      <c r="G14" s="27">
        <v>6</v>
      </c>
      <c r="H14" s="27"/>
      <c r="I14" s="27"/>
      <c r="J14" s="28"/>
      <c r="K14" s="28"/>
      <c r="L14" s="27"/>
      <c r="M14" s="27"/>
      <c r="N14" s="20">
        <f>Gov*SUM(B56,D56,F56,H56)</f>
        <v>0</v>
      </c>
      <c r="O14" s="20"/>
      <c r="P14" s="30"/>
    </row>
    <row r="15" spans="1:16" s="9" customFormat="1" x14ac:dyDescent="0.55000000000000004">
      <c r="A15" s="11" t="s">
        <v>26</v>
      </c>
      <c r="B15" s="38"/>
      <c r="C15" s="38"/>
      <c r="D15" s="27">
        <v>6</v>
      </c>
      <c r="E15" s="27">
        <v>8</v>
      </c>
      <c r="F15" s="27">
        <f>SUM(B15,D15)/8</f>
        <v>0.75</v>
      </c>
      <c r="G15" s="27">
        <f>SUM(C15,E15)/8</f>
        <v>1</v>
      </c>
      <c r="I15" s="27"/>
      <c r="J15" s="28"/>
      <c r="K15" s="28"/>
      <c r="L15" s="27"/>
      <c r="M15" s="27"/>
      <c r="N15" s="20">
        <f>Gov*SUM(B56,D56,F56,H56)</f>
        <v>0</v>
      </c>
      <c r="O15" s="20"/>
      <c r="P15" s="30"/>
    </row>
    <row r="16" spans="1:16" s="9" customFormat="1" x14ac:dyDescent="0.55000000000000004">
      <c r="A16" s="11" t="s">
        <v>27</v>
      </c>
      <c r="B16" s="38"/>
      <c r="C16" s="38"/>
      <c r="D16" s="27"/>
      <c r="E16" s="27"/>
      <c r="F16" s="27">
        <v>2</v>
      </c>
      <c r="G16" s="27">
        <v>4</v>
      </c>
      <c r="I16" s="27"/>
      <c r="J16" s="28"/>
      <c r="K16" s="28"/>
      <c r="L16" s="27"/>
      <c r="M16" s="27"/>
      <c r="N16" s="20">
        <f>Gov*SUM(B56,D56,F56,H56)</f>
        <v>0</v>
      </c>
      <c r="O16" s="20"/>
      <c r="P16" s="30"/>
    </row>
    <row r="17" spans="1:16" s="9" customFormat="1" x14ac:dyDescent="0.55000000000000004">
      <c r="A17" s="11" t="s">
        <v>28</v>
      </c>
      <c r="B17" s="38"/>
      <c r="C17" s="38"/>
      <c r="D17" s="27">
        <v>200</v>
      </c>
      <c r="E17" s="27">
        <v>450</v>
      </c>
      <c r="F17" s="27"/>
      <c r="G17" s="27"/>
      <c r="H17" s="27"/>
      <c r="I17" s="27"/>
      <c r="J17" s="28"/>
      <c r="K17" s="28"/>
      <c r="L17" s="27"/>
      <c r="M17" s="27"/>
      <c r="N17" s="20">
        <f>Gov*SUM(B56,D56,F56,H56)</f>
        <v>0</v>
      </c>
      <c r="O17" s="20"/>
      <c r="P17" s="30"/>
    </row>
    <row r="18" spans="1:16" s="9" customFormat="1" x14ac:dyDescent="0.55000000000000004">
      <c r="A18" s="11" t="s">
        <v>29</v>
      </c>
      <c r="B18" s="38"/>
      <c r="C18" s="38"/>
      <c r="D18" s="27">
        <v>6</v>
      </c>
      <c r="E18" s="27">
        <v>12</v>
      </c>
      <c r="F18" s="27"/>
      <c r="G18" s="27"/>
      <c r="H18" s="27"/>
      <c r="I18" s="27"/>
      <c r="J18" s="28"/>
      <c r="K18" s="28"/>
      <c r="L18" s="27"/>
      <c r="M18" s="27"/>
      <c r="N18" s="20">
        <f>Gov*SUM(B56,D56,F56,H56)</f>
        <v>0</v>
      </c>
      <c r="O18" s="20"/>
      <c r="P18" s="30"/>
    </row>
    <row r="19" spans="1:16" s="9" customFormat="1" x14ac:dyDescent="0.55000000000000004">
      <c r="A19" s="39" t="s">
        <v>30</v>
      </c>
      <c r="B19" s="38"/>
      <c r="C19" s="38"/>
      <c r="D19" s="27">
        <v>8</v>
      </c>
      <c r="E19" s="27">
        <v>12</v>
      </c>
      <c r="F19" s="27">
        <v>4</v>
      </c>
      <c r="G19" s="27">
        <v>16</v>
      </c>
      <c r="H19" s="27"/>
      <c r="I19" s="27"/>
      <c r="J19" s="28"/>
      <c r="K19" s="28"/>
      <c r="L19" s="27"/>
      <c r="M19" s="27"/>
      <c r="N19" s="20">
        <f>Gov*SUM(B56,D56,F56,H56)</f>
        <v>0</v>
      </c>
      <c r="O19" s="20"/>
      <c r="P19" s="30"/>
    </row>
    <row r="20" spans="1:16" s="9" customFormat="1" x14ac:dyDescent="0.55000000000000004">
      <c r="A20" s="42" t="s">
        <v>31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4">
        <f t="shared" ref="N20" si="6">Gov*SUM(B20,D20,F20,F20,F20,H20,L20)</f>
        <v>0</v>
      </c>
      <c r="O20" s="44">
        <f t="shared" ref="O20" si="7">Gov*SUM(C20,E20,G20,G20,G20,I20,M20)</f>
        <v>0</v>
      </c>
      <c r="P20" s="45"/>
    </row>
    <row r="21" spans="1:16" s="9" customFormat="1" x14ac:dyDescent="0.55000000000000004">
      <c r="A21" s="39" t="s">
        <v>32</v>
      </c>
      <c r="B21" s="38"/>
      <c r="C21" s="38"/>
      <c r="D21" s="27">
        <v>2</v>
      </c>
      <c r="E21" s="27">
        <v>4</v>
      </c>
      <c r="F21" s="27">
        <f t="shared" ref="F21:F38" si="8">SUM(B21,D21)/8</f>
        <v>0.25</v>
      </c>
      <c r="G21" s="27">
        <f>SUM(C21,E21)/8</f>
        <v>0.5</v>
      </c>
      <c r="H21" s="27">
        <f t="shared" ref="H21:H38" si="9">SUM(B21,D21)*QA</f>
        <v>0.5</v>
      </c>
      <c r="I21" s="27">
        <f t="shared" ref="I21:I36" si="10">SUM(C21,E21)*QA</f>
        <v>1</v>
      </c>
      <c r="J21" s="28"/>
      <c r="K21" s="28"/>
      <c r="L21" s="27">
        <f t="shared" ref="L21:L35" si="11">Producer*SUM(B21,D21,F21,H21)</f>
        <v>0.41249999999999998</v>
      </c>
      <c r="M21" s="27">
        <f t="shared" ref="M21:M35" si="12">Producer*SUM(B21,E21,G21,I21)</f>
        <v>0.82499999999999996</v>
      </c>
      <c r="N21" s="20">
        <f>Gov*SUM(B56,D56,F56,H56)</f>
        <v>0</v>
      </c>
      <c r="O21" s="20"/>
      <c r="P21" s="30"/>
    </row>
    <row r="22" spans="1:16" s="9" customFormat="1" x14ac:dyDescent="0.55000000000000004">
      <c r="A22" s="39" t="s">
        <v>33</v>
      </c>
      <c r="B22" s="38"/>
      <c r="C22" s="38"/>
      <c r="D22" s="27">
        <v>12</v>
      </c>
      <c r="E22" s="27">
        <v>20</v>
      </c>
      <c r="F22" s="27">
        <f t="shared" si="8"/>
        <v>1.5</v>
      </c>
      <c r="G22" s="27">
        <f t="shared" ref="G22:G35" si="13">SUM(C22,E22)/8</f>
        <v>2.5</v>
      </c>
      <c r="H22" s="27">
        <f t="shared" si="9"/>
        <v>3</v>
      </c>
      <c r="I22" s="27">
        <f t="shared" si="10"/>
        <v>5</v>
      </c>
      <c r="J22" s="28"/>
      <c r="K22" s="28"/>
      <c r="L22" s="27">
        <f t="shared" si="11"/>
        <v>2.4750000000000001</v>
      </c>
      <c r="M22" s="27">
        <f t="shared" si="12"/>
        <v>4.125</v>
      </c>
      <c r="N22" s="20">
        <v>0.48125000000000001</v>
      </c>
      <c r="O22" s="20"/>
      <c r="P22" s="30"/>
    </row>
    <row r="23" spans="1:16" s="9" customFormat="1" x14ac:dyDescent="0.55000000000000004">
      <c r="A23" s="39" t="s">
        <v>34</v>
      </c>
      <c r="B23" s="38"/>
      <c r="C23" s="38"/>
      <c r="D23" s="27">
        <v>16</v>
      </c>
      <c r="E23" s="27">
        <v>20</v>
      </c>
      <c r="F23" s="27">
        <f t="shared" si="8"/>
        <v>2</v>
      </c>
      <c r="G23" s="27">
        <f t="shared" si="13"/>
        <v>2.5</v>
      </c>
      <c r="H23" s="27">
        <f t="shared" si="9"/>
        <v>4</v>
      </c>
      <c r="I23" s="27">
        <f t="shared" si="10"/>
        <v>5</v>
      </c>
      <c r="J23" s="28"/>
      <c r="K23" s="28"/>
      <c r="L23" s="27">
        <f t="shared" si="11"/>
        <v>3.3</v>
      </c>
      <c r="M23" s="27">
        <f t="shared" si="12"/>
        <v>4.125</v>
      </c>
      <c r="N23" s="20">
        <v>0.48125000000000001</v>
      </c>
      <c r="O23" s="20"/>
      <c r="P23" s="30"/>
    </row>
    <row r="24" spans="1:16" s="9" customFormat="1" x14ac:dyDescent="0.55000000000000004">
      <c r="A24" s="40"/>
      <c r="B24" s="38"/>
      <c r="C24" s="38"/>
      <c r="D24" s="27"/>
      <c r="E24" s="27"/>
      <c r="F24" s="27">
        <f t="shared" si="8"/>
        <v>0</v>
      </c>
      <c r="G24" s="27">
        <f t="shared" si="13"/>
        <v>0</v>
      </c>
      <c r="H24" s="27">
        <f t="shared" si="9"/>
        <v>0</v>
      </c>
      <c r="I24" s="27">
        <f t="shared" si="10"/>
        <v>0</v>
      </c>
      <c r="J24" s="27"/>
      <c r="K24" s="27"/>
      <c r="L24" s="27">
        <f t="shared" si="11"/>
        <v>0</v>
      </c>
      <c r="M24" s="27">
        <f t="shared" si="12"/>
        <v>0</v>
      </c>
      <c r="N24" s="20">
        <f>Gov*SUM(B57,D57,F57,H57)</f>
        <v>0</v>
      </c>
      <c r="O24" s="20"/>
      <c r="P24" s="30"/>
    </row>
    <row r="25" spans="1:16" s="9" customFormat="1" x14ac:dyDescent="0.55000000000000004">
      <c r="A25" s="42" t="s">
        <v>35</v>
      </c>
      <c r="B25" s="38"/>
      <c r="C25" s="3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0">
        <f>Gov*SUM(B58,D58,F58,H58)</f>
        <v>0</v>
      </c>
      <c r="O25" s="20"/>
      <c r="P25" s="30"/>
    </row>
    <row r="26" spans="1:16" s="9" customFormat="1" x14ac:dyDescent="0.55000000000000004">
      <c r="A26" s="39" t="s">
        <v>36</v>
      </c>
      <c r="B26" s="38"/>
      <c r="C26" s="38"/>
      <c r="D26" s="27"/>
      <c r="E26" s="27"/>
      <c r="F26" s="27">
        <v>6</v>
      </c>
      <c r="G26" s="27">
        <v>10</v>
      </c>
      <c r="H26" s="27">
        <f t="shared" si="9"/>
        <v>0</v>
      </c>
      <c r="I26" s="27">
        <f t="shared" si="10"/>
        <v>0</v>
      </c>
      <c r="J26" s="28"/>
      <c r="K26" s="28"/>
      <c r="L26" s="27">
        <f t="shared" si="11"/>
        <v>0.89999999999999991</v>
      </c>
      <c r="M26" s="27">
        <f t="shared" si="12"/>
        <v>1.5</v>
      </c>
      <c r="N26" s="20">
        <f>Gov*SUM(B63,D63,F63,H63)</f>
        <v>0</v>
      </c>
      <c r="O26" s="20"/>
      <c r="P26" s="30"/>
    </row>
    <row r="27" spans="1:16" s="9" customFormat="1" x14ac:dyDescent="0.55000000000000004">
      <c r="A27" s="39" t="s">
        <v>37</v>
      </c>
      <c r="B27" s="38"/>
      <c r="C27" s="38"/>
      <c r="D27" s="27">
        <v>6</v>
      </c>
      <c r="E27" s="27">
        <v>10</v>
      </c>
      <c r="F27" s="27">
        <f t="shared" si="8"/>
        <v>0.75</v>
      </c>
      <c r="G27" s="27">
        <f t="shared" si="13"/>
        <v>1.25</v>
      </c>
      <c r="H27" s="27">
        <f t="shared" si="9"/>
        <v>1.5</v>
      </c>
      <c r="I27" s="27">
        <f t="shared" si="10"/>
        <v>2.5</v>
      </c>
      <c r="J27" s="27"/>
      <c r="K27" s="27"/>
      <c r="L27" s="27">
        <f t="shared" si="11"/>
        <v>1.2375</v>
      </c>
      <c r="M27" s="27">
        <f t="shared" si="12"/>
        <v>2.0625</v>
      </c>
      <c r="N27" s="20">
        <f>Gov*SUM(B58,D58,F58,H58)</f>
        <v>0</v>
      </c>
      <c r="O27" s="20"/>
      <c r="P27" s="30"/>
    </row>
    <row r="28" spans="1:16" s="9" customFormat="1" x14ac:dyDescent="0.55000000000000004">
      <c r="A28" s="39" t="s">
        <v>38</v>
      </c>
      <c r="B28" s="38"/>
      <c r="C28" s="38"/>
      <c r="D28" s="27">
        <v>20</v>
      </c>
      <c r="E28" s="27">
        <v>32</v>
      </c>
      <c r="F28" s="27">
        <f t="shared" si="8"/>
        <v>2.5</v>
      </c>
      <c r="G28" s="27">
        <f t="shared" si="13"/>
        <v>4</v>
      </c>
      <c r="H28" s="27">
        <f t="shared" si="9"/>
        <v>5</v>
      </c>
      <c r="I28" s="27">
        <f t="shared" si="10"/>
        <v>8</v>
      </c>
      <c r="J28" s="27"/>
      <c r="K28" s="27"/>
      <c r="L28" s="27">
        <f t="shared" si="11"/>
        <v>4.125</v>
      </c>
      <c r="M28" s="27">
        <f t="shared" si="12"/>
        <v>6.6</v>
      </c>
      <c r="N28" s="20">
        <f>Gov*SUM(B58,D58,F58,H58)</f>
        <v>0</v>
      </c>
      <c r="O28" s="20"/>
      <c r="P28" s="30"/>
    </row>
    <row r="29" spans="1:16" s="9" customFormat="1" x14ac:dyDescent="0.55000000000000004">
      <c r="A29" s="39" t="s">
        <v>39</v>
      </c>
      <c r="B29" s="38"/>
      <c r="C29" s="38"/>
      <c r="D29" s="27">
        <v>6</v>
      </c>
      <c r="E29" s="27">
        <v>10</v>
      </c>
      <c r="F29" s="27">
        <f t="shared" si="8"/>
        <v>0.75</v>
      </c>
      <c r="G29" s="27">
        <f t="shared" si="13"/>
        <v>1.25</v>
      </c>
      <c r="H29" s="27">
        <f t="shared" si="9"/>
        <v>1.5</v>
      </c>
      <c r="I29" s="27">
        <f t="shared" si="10"/>
        <v>2.5</v>
      </c>
      <c r="J29" s="27"/>
      <c r="K29" s="27"/>
      <c r="L29" s="27">
        <f t="shared" si="11"/>
        <v>1.2375</v>
      </c>
      <c r="M29" s="27">
        <f t="shared" si="12"/>
        <v>2.0625</v>
      </c>
      <c r="N29" s="20">
        <f>Gov*SUM(B58,D58,F58,H58)</f>
        <v>0</v>
      </c>
      <c r="O29" s="20"/>
      <c r="P29" s="30"/>
    </row>
    <row r="30" spans="1:16" s="9" customFormat="1" x14ac:dyDescent="0.55000000000000004">
      <c r="A30" s="39" t="s">
        <v>40</v>
      </c>
      <c r="B30" s="38"/>
      <c r="C30" s="38"/>
      <c r="D30" s="27">
        <v>12</v>
      </c>
      <c r="E30" s="27">
        <v>20</v>
      </c>
      <c r="F30" s="27">
        <f t="shared" si="8"/>
        <v>1.5</v>
      </c>
      <c r="G30" s="27">
        <f t="shared" si="13"/>
        <v>2.5</v>
      </c>
      <c r="H30" s="27">
        <f t="shared" si="9"/>
        <v>3</v>
      </c>
      <c r="I30" s="27">
        <f t="shared" si="10"/>
        <v>5</v>
      </c>
      <c r="J30" s="27"/>
      <c r="K30" s="27"/>
      <c r="L30" s="27">
        <f t="shared" si="11"/>
        <v>2.4750000000000001</v>
      </c>
      <c r="M30" s="27">
        <f t="shared" si="12"/>
        <v>4.125</v>
      </c>
      <c r="N30" s="20">
        <f>Gov*SUM(B58,D58,F58,H58)</f>
        <v>0</v>
      </c>
      <c r="O30" s="20"/>
      <c r="P30" s="30"/>
    </row>
    <row r="31" spans="1:16" s="9" customFormat="1" x14ac:dyDescent="0.55000000000000004">
      <c r="A31" s="39" t="s">
        <v>41</v>
      </c>
      <c r="B31" s="38"/>
      <c r="C31" s="38"/>
      <c r="D31" s="27">
        <v>12</v>
      </c>
      <c r="E31" s="27">
        <v>20</v>
      </c>
      <c r="F31" s="27">
        <f>SUM(B31,D32)/8</f>
        <v>0</v>
      </c>
      <c r="G31" s="27">
        <f t="shared" si="13"/>
        <v>2.5</v>
      </c>
      <c r="H31" s="27">
        <f>SUM(B31,D32)*QA</f>
        <v>0</v>
      </c>
      <c r="I31" s="27">
        <f t="shared" si="10"/>
        <v>5</v>
      </c>
      <c r="J31" s="27"/>
      <c r="K31" s="27"/>
      <c r="L31" s="27">
        <f>Producer*SUM(B31,D32,F31,H31)</f>
        <v>0</v>
      </c>
      <c r="M31" s="27">
        <f t="shared" si="12"/>
        <v>4.125</v>
      </c>
      <c r="N31" s="20">
        <f>Gov*SUM(B58,D58,F58,H58)</f>
        <v>0</v>
      </c>
      <c r="O31" s="20"/>
      <c r="P31" s="30"/>
    </row>
    <row r="32" spans="1:16" s="9" customFormat="1" x14ac:dyDescent="0.55000000000000004">
      <c r="A32" s="41" t="s">
        <v>42</v>
      </c>
      <c r="B32" s="38"/>
      <c r="C32" s="38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0">
        <f>Gov*SUM(B58,D58,F58,H58)</f>
        <v>0</v>
      </c>
      <c r="O32" s="20"/>
      <c r="P32" s="30"/>
    </row>
    <row r="33" spans="1:16" s="9" customFormat="1" x14ac:dyDescent="0.55000000000000004">
      <c r="A33" s="39" t="s">
        <v>43</v>
      </c>
      <c r="B33" s="38"/>
      <c r="C33" s="38"/>
      <c r="D33" s="27">
        <v>2</v>
      </c>
      <c r="E33" s="27">
        <v>4</v>
      </c>
      <c r="F33" s="27">
        <f t="shared" si="8"/>
        <v>0.25</v>
      </c>
      <c r="G33" s="27">
        <f t="shared" si="13"/>
        <v>0.5</v>
      </c>
      <c r="H33" s="27">
        <f t="shared" si="9"/>
        <v>0.5</v>
      </c>
      <c r="I33" s="27">
        <f t="shared" si="10"/>
        <v>1</v>
      </c>
      <c r="J33" s="27"/>
      <c r="K33" s="27"/>
      <c r="L33" s="27">
        <f t="shared" si="11"/>
        <v>0.41249999999999998</v>
      </c>
      <c r="M33" s="27">
        <f t="shared" si="12"/>
        <v>0.82499999999999996</v>
      </c>
      <c r="N33" s="20">
        <f>Gov*SUM(B58,D58,F58,H58)</f>
        <v>0</v>
      </c>
      <c r="O33" s="20"/>
      <c r="P33" s="30"/>
    </row>
    <row r="34" spans="1:16" s="9" customFormat="1" x14ac:dyDescent="0.55000000000000004">
      <c r="A34" s="39" t="s">
        <v>44</v>
      </c>
      <c r="B34" s="38"/>
      <c r="C34" s="38"/>
      <c r="D34" s="27">
        <v>8</v>
      </c>
      <c r="E34" s="27">
        <v>16</v>
      </c>
      <c r="F34" s="27">
        <f t="shared" si="8"/>
        <v>1</v>
      </c>
      <c r="G34" s="27">
        <f t="shared" si="13"/>
        <v>2</v>
      </c>
      <c r="H34" s="27">
        <f t="shared" si="9"/>
        <v>2</v>
      </c>
      <c r="I34" s="27">
        <f t="shared" si="10"/>
        <v>4</v>
      </c>
      <c r="J34" s="27"/>
      <c r="K34" s="27"/>
      <c r="L34" s="27">
        <f t="shared" si="11"/>
        <v>1.65</v>
      </c>
      <c r="M34" s="27">
        <f t="shared" si="12"/>
        <v>3.3</v>
      </c>
      <c r="N34" s="20">
        <f>Gov*SUM(B58,D58,F58,H58)</f>
        <v>0</v>
      </c>
      <c r="O34" s="20"/>
      <c r="P34" s="30"/>
    </row>
    <row r="35" spans="1:16" s="9" customFormat="1" x14ac:dyDescent="0.55000000000000004">
      <c r="A35" s="11" t="s">
        <v>45</v>
      </c>
      <c r="B35" s="38"/>
      <c r="C35" s="38"/>
      <c r="D35" s="27">
        <v>10</v>
      </c>
      <c r="E35" s="27">
        <v>16</v>
      </c>
      <c r="F35" s="27">
        <f t="shared" si="8"/>
        <v>1.25</v>
      </c>
      <c r="G35" s="27">
        <f t="shared" si="13"/>
        <v>2</v>
      </c>
      <c r="H35" s="27">
        <f t="shared" si="9"/>
        <v>2.5</v>
      </c>
      <c r="I35" s="27">
        <f t="shared" si="10"/>
        <v>4</v>
      </c>
      <c r="J35" s="27"/>
      <c r="K35" s="27"/>
      <c r="L35" s="27">
        <f t="shared" si="11"/>
        <v>2.0625</v>
      </c>
      <c r="M35" s="27">
        <f t="shared" si="12"/>
        <v>3.3</v>
      </c>
      <c r="N35" s="20">
        <f>Gov*SUM(B58,D58,F58,H58)</f>
        <v>0</v>
      </c>
      <c r="O35" s="20"/>
      <c r="P35" s="30"/>
    </row>
    <row r="36" spans="1:16" s="9" customFormat="1" x14ac:dyDescent="0.55000000000000004">
      <c r="A36" s="11" t="s">
        <v>46</v>
      </c>
      <c r="B36" s="27"/>
      <c r="C36" s="27"/>
      <c r="D36" s="27">
        <v>2</v>
      </c>
      <c r="E36" s="27">
        <v>6</v>
      </c>
      <c r="F36" s="27">
        <f t="shared" si="8"/>
        <v>0.25</v>
      </c>
      <c r="G36" s="27">
        <f t="shared" ref="G36:G44" si="14">SUM(C36,E36)/8</f>
        <v>0.75</v>
      </c>
      <c r="H36" s="27">
        <f t="shared" si="9"/>
        <v>0.5</v>
      </c>
      <c r="I36" s="27">
        <f t="shared" si="10"/>
        <v>1.5</v>
      </c>
      <c r="J36" s="27"/>
      <c r="K36" s="27"/>
      <c r="L36" s="27">
        <f t="shared" ref="L36:L44" si="15">Producer*SUM(B36,D36,F36,H36)</f>
        <v>0.41249999999999998</v>
      </c>
      <c r="M36" s="27">
        <f t="shared" ref="M36:M44" si="16">Producer*SUM(B36,E36,G36,I36)</f>
        <v>1.2375</v>
      </c>
      <c r="N36" s="20">
        <f t="shared" ref="N36:N67" si="17">Gov*SUM(B36,D36,F36,F36,F36,H36,L36)</f>
        <v>0</v>
      </c>
      <c r="O36" s="20">
        <f t="shared" ref="O36:O67" si="18">Gov*SUM(C36,E36,G36,G36,G36,I36,M36)</f>
        <v>0</v>
      </c>
      <c r="P36" s="30"/>
    </row>
    <row r="37" spans="1:16" s="9" customFormat="1" x14ac:dyDescent="0.55000000000000004">
      <c r="A37" s="11" t="s">
        <v>47</v>
      </c>
      <c r="B37" s="38"/>
      <c r="C37" s="38"/>
      <c r="D37" s="27">
        <v>6</v>
      </c>
      <c r="E37" s="27">
        <v>10</v>
      </c>
      <c r="F37" s="27">
        <f t="shared" si="8"/>
        <v>0.75</v>
      </c>
      <c r="G37" s="27">
        <f t="shared" si="14"/>
        <v>1.25</v>
      </c>
      <c r="H37" s="27">
        <f t="shared" si="9"/>
        <v>1.5</v>
      </c>
      <c r="I37" s="27">
        <f t="shared" ref="I37:I44" si="19">SUM(C37,E37)*QA</f>
        <v>2.5</v>
      </c>
      <c r="J37" s="27"/>
      <c r="K37" s="27"/>
      <c r="L37" s="27">
        <f t="shared" si="15"/>
        <v>1.2375</v>
      </c>
      <c r="M37" s="27">
        <f t="shared" si="16"/>
        <v>2.0625</v>
      </c>
      <c r="N37" s="20">
        <f>Gov*SUM(B81,D81,F81,H81)</f>
        <v>0</v>
      </c>
      <c r="O37" s="20"/>
      <c r="P37" s="30"/>
    </row>
    <row r="38" spans="1:16" s="9" customFormat="1" x14ac:dyDescent="0.55000000000000004">
      <c r="A38" s="11" t="s">
        <v>48</v>
      </c>
      <c r="B38" s="38"/>
      <c r="C38" s="38"/>
      <c r="D38" s="27"/>
      <c r="E38" s="27"/>
      <c r="F38" s="27">
        <f t="shared" si="8"/>
        <v>0</v>
      </c>
      <c r="G38" s="27">
        <f t="shared" si="14"/>
        <v>0</v>
      </c>
      <c r="H38" s="27">
        <f t="shared" si="9"/>
        <v>0</v>
      </c>
      <c r="I38" s="27">
        <f t="shared" si="19"/>
        <v>0</v>
      </c>
      <c r="J38" s="27"/>
      <c r="K38" s="27"/>
      <c r="L38" s="27">
        <f t="shared" si="15"/>
        <v>0</v>
      </c>
      <c r="M38" s="27">
        <f t="shared" si="16"/>
        <v>0</v>
      </c>
      <c r="N38" s="20">
        <f>Gov*SUM(B81,D81,F81,H81)</f>
        <v>0</v>
      </c>
      <c r="O38" s="20"/>
      <c r="P38" s="30"/>
    </row>
    <row r="39" spans="1:16" s="9" customFormat="1" x14ac:dyDescent="0.55000000000000004">
      <c r="A39" s="11" t="s">
        <v>49</v>
      </c>
      <c r="B39" s="38"/>
      <c r="C39" s="38"/>
      <c r="D39" s="27">
        <v>8</v>
      </c>
      <c r="E39" s="27">
        <v>12</v>
      </c>
      <c r="F39" s="27">
        <f t="shared" ref="F39:F44" si="20">SUM(B39,D39)/8</f>
        <v>1</v>
      </c>
      <c r="G39" s="27">
        <f t="shared" si="14"/>
        <v>1.5</v>
      </c>
      <c r="H39" s="27">
        <f t="shared" ref="H39:H44" si="21">SUM(B39,D39)*QA</f>
        <v>2</v>
      </c>
      <c r="I39" s="27">
        <f t="shared" si="19"/>
        <v>3</v>
      </c>
      <c r="J39" s="27"/>
      <c r="K39" s="27"/>
      <c r="L39" s="27">
        <f t="shared" si="15"/>
        <v>1.65</v>
      </c>
      <c r="M39" s="27">
        <f t="shared" si="16"/>
        <v>2.4750000000000001</v>
      </c>
      <c r="N39" s="20">
        <f>Gov*SUM(B81,D81,F81,H81)</f>
        <v>0</v>
      </c>
      <c r="O39" s="20"/>
      <c r="P39" s="30"/>
    </row>
    <row r="40" spans="1:16" s="9" customFormat="1" x14ac:dyDescent="0.55000000000000004">
      <c r="A40" s="11" t="s">
        <v>50</v>
      </c>
      <c r="B40" s="38"/>
      <c r="C40" s="38"/>
      <c r="D40" s="27">
        <v>8</v>
      </c>
      <c r="E40" s="27">
        <v>12</v>
      </c>
      <c r="F40" s="27">
        <f t="shared" si="20"/>
        <v>1</v>
      </c>
      <c r="G40" s="27">
        <f t="shared" si="14"/>
        <v>1.5</v>
      </c>
      <c r="H40" s="27">
        <f t="shared" si="21"/>
        <v>2</v>
      </c>
      <c r="I40" s="27">
        <f t="shared" si="19"/>
        <v>3</v>
      </c>
      <c r="J40" s="27"/>
      <c r="K40" s="27"/>
      <c r="L40" s="27">
        <f t="shared" si="15"/>
        <v>1.65</v>
      </c>
      <c r="M40" s="27">
        <f t="shared" si="16"/>
        <v>2.4750000000000001</v>
      </c>
      <c r="N40" s="20">
        <f>Gov*SUM(B81,D81,F81,H81)</f>
        <v>0</v>
      </c>
      <c r="O40" s="20"/>
      <c r="P40" s="30"/>
    </row>
    <row r="41" spans="1:16" s="9" customFormat="1" x14ac:dyDescent="0.55000000000000004">
      <c r="A41" s="41" t="s">
        <v>51</v>
      </c>
      <c r="B41" s="38"/>
      <c r="C41" s="38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0">
        <f>Gov*SUM(B81,D81,F81,H81)</f>
        <v>0</v>
      </c>
      <c r="O41" s="20"/>
      <c r="P41" s="30"/>
    </row>
    <row r="42" spans="1:16" s="9" customFormat="1" x14ac:dyDescent="0.55000000000000004">
      <c r="A42" s="11" t="s">
        <v>52</v>
      </c>
      <c r="B42" s="38"/>
      <c r="C42" s="38"/>
      <c r="D42" s="27">
        <v>16</v>
      </c>
      <c r="E42" s="27">
        <v>32</v>
      </c>
      <c r="F42" s="27">
        <f>SUM(B42,D42)/8</f>
        <v>2</v>
      </c>
      <c r="G42" s="27">
        <f>SUM(C42,E42)/8</f>
        <v>4</v>
      </c>
      <c r="H42" s="27">
        <f>SUM(B42,D42)*QA</f>
        <v>4</v>
      </c>
      <c r="I42" s="27">
        <f>SUM(C42,E42)*QA</f>
        <v>8</v>
      </c>
      <c r="J42" s="27"/>
      <c r="K42" s="27"/>
      <c r="L42" s="27">
        <f>Producer*SUM(B42,D42,F42,H42)</f>
        <v>3.3</v>
      </c>
      <c r="M42" s="27">
        <f>Producer*SUM(B42,E42,G42,I42)</f>
        <v>6.6</v>
      </c>
      <c r="N42" s="20">
        <f>Gov*SUM(B81,D81,F81,H81)</f>
        <v>0</v>
      </c>
      <c r="O42" s="20"/>
      <c r="P42" s="30"/>
    </row>
    <row r="43" spans="1:16" s="9" customFormat="1" x14ac:dyDescent="0.55000000000000004">
      <c r="A43" s="11" t="s">
        <v>53</v>
      </c>
      <c r="B43" s="38">
        <v>12</v>
      </c>
      <c r="C43" s="38">
        <v>24</v>
      </c>
      <c r="D43" s="27">
        <v>2</v>
      </c>
      <c r="E43" s="27">
        <v>4</v>
      </c>
      <c r="F43" s="27">
        <f>SUM(B43,D43)/8</f>
        <v>1.75</v>
      </c>
      <c r="G43" s="27">
        <f>SUM(C43,E43)/8</f>
        <v>3.5</v>
      </c>
      <c r="H43" s="27">
        <f>SUM(B43,D43)*QA</f>
        <v>3.5</v>
      </c>
      <c r="I43" s="27">
        <f>SUM(C43,E43)*QA</f>
        <v>7</v>
      </c>
      <c r="J43" s="27"/>
      <c r="K43" s="27"/>
      <c r="L43" s="27">
        <f>Producer*SUM(B43,D43,F43,H43)</f>
        <v>2.8874999999999997</v>
      </c>
      <c r="M43" s="27">
        <f>Producer*SUM(B43,E43,G43,I43)</f>
        <v>3.9749999999999996</v>
      </c>
      <c r="N43" s="20">
        <f>Gov*SUM(B81,D81,F81,H81)</f>
        <v>0</v>
      </c>
      <c r="O43" s="20"/>
      <c r="P43" s="30"/>
    </row>
    <row r="44" spans="1:16" s="9" customFormat="1" x14ac:dyDescent="0.55000000000000004">
      <c r="A44" s="11"/>
      <c r="B44" s="38"/>
      <c r="C44" s="38"/>
      <c r="D44" s="27"/>
      <c r="E44" s="27"/>
      <c r="F44" s="27">
        <f t="shared" si="20"/>
        <v>0</v>
      </c>
      <c r="G44" s="27">
        <f t="shared" si="14"/>
        <v>0</v>
      </c>
      <c r="H44" s="27">
        <f t="shared" si="21"/>
        <v>0</v>
      </c>
      <c r="I44" s="27">
        <f t="shared" si="19"/>
        <v>0</v>
      </c>
      <c r="J44" s="27"/>
      <c r="K44" s="27"/>
      <c r="L44" s="27">
        <f t="shared" si="15"/>
        <v>0</v>
      </c>
      <c r="M44" s="27">
        <f t="shared" si="16"/>
        <v>0</v>
      </c>
      <c r="N44" s="20">
        <f>Gov*SUM(B81,D81,F81,H81)</f>
        <v>0</v>
      </c>
      <c r="O44" s="20"/>
      <c r="P44" s="30"/>
    </row>
    <row r="45" spans="1:16" s="9" customFormat="1" x14ac:dyDescent="0.55000000000000004">
      <c r="A45" s="41" t="s">
        <v>54</v>
      </c>
      <c r="B45" s="27"/>
      <c r="C45" s="27"/>
      <c r="D45" s="27"/>
      <c r="E45" s="27"/>
      <c r="F45" s="27">
        <f t="shared" ref="F45:F46" si="22">SUM(B45,D45)/8</f>
        <v>0</v>
      </c>
      <c r="G45" s="27">
        <f t="shared" ref="G45:G46" si="23">SUM(C45,E45)/8</f>
        <v>0</v>
      </c>
      <c r="H45" s="27">
        <f t="shared" ref="H45:H46" si="24">SUM(B45,D45)*QA</f>
        <v>0</v>
      </c>
      <c r="I45" s="27">
        <f t="shared" ref="I45:I46" si="25">SUM(C45,E45)*QA</f>
        <v>0</v>
      </c>
      <c r="J45" s="27"/>
      <c r="K45" s="27"/>
      <c r="L45" s="27">
        <f t="shared" ref="L45:L59" si="26">Producer*SUM(B45,D45,F45,H45)</f>
        <v>0</v>
      </c>
      <c r="M45" s="27">
        <f t="shared" ref="M45:M58" si="27">Producer*SUM(B45,E45,G45,I45)</f>
        <v>0</v>
      </c>
      <c r="N45" s="20">
        <f t="shared" si="17"/>
        <v>0</v>
      </c>
      <c r="O45" s="20">
        <f t="shared" si="18"/>
        <v>0</v>
      </c>
      <c r="P45" s="33"/>
    </row>
    <row r="46" spans="1:16" s="9" customFormat="1" x14ac:dyDescent="0.55000000000000004">
      <c r="A46" s="11" t="s">
        <v>55</v>
      </c>
      <c r="B46" s="27"/>
      <c r="C46" s="27"/>
      <c r="D46" s="27">
        <v>8</v>
      </c>
      <c r="E46" s="27">
        <v>10</v>
      </c>
      <c r="F46" s="27">
        <f t="shared" si="22"/>
        <v>1</v>
      </c>
      <c r="G46" s="27">
        <f t="shared" si="23"/>
        <v>1.25</v>
      </c>
      <c r="H46" s="27">
        <f t="shared" si="24"/>
        <v>2</v>
      </c>
      <c r="I46" s="27">
        <f t="shared" si="25"/>
        <v>2.5</v>
      </c>
      <c r="J46" s="27"/>
      <c r="K46" s="27"/>
      <c r="L46" s="27">
        <f t="shared" si="26"/>
        <v>1.65</v>
      </c>
      <c r="M46" s="27">
        <f t="shared" si="27"/>
        <v>2.0625</v>
      </c>
      <c r="N46" s="20">
        <f t="shared" si="17"/>
        <v>0</v>
      </c>
      <c r="O46" s="20">
        <f t="shared" si="18"/>
        <v>0</v>
      </c>
      <c r="P46" s="33"/>
    </row>
    <row r="47" spans="1:16" s="9" customFormat="1" x14ac:dyDescent="0.55000000000000004">
      <c r="A47" s="11" t="s">
        <v>56</v>
      </c>
      <c r="B47" s="27"/>
      <c r="C47" s="27"/>
      <c r="D47" s="27">
        <v>2</v>
      </c>
      <c r="E47" s="27">
        <v>6</v>
      </c>
      <c r="F47" s="27">
        <f>SUM(B47,D47)/8</f>
        <v>0.25</v>
      </c>
      <c r="G47" s="27">
        <f t="shared" ref="G47" si="28">SUM(C47,E47)/8</f>
        <v>0.75</v>
      </c>
      <c r="H47" s="27">
        <f>SUM(B47,D47)*QA</f>
        <v>0.5</v>
      </c>
      <c r="I47" s="27">
        <f t="shared" ref="I47" si="29">SUM(C47,E47)*QA</f>
        <v>1.5</v>
      </c>
      <c r="J47" s="27"/>
      <c r="K47" s="27"/>
      <c r="L47" s="27">
        <f>Producer*SUM(B47,D47,F47,H47)</f>
        <v>0.41249999999999998</v>
      </c>
      <c r="M47" s="27">
        <f t="shared" ref="M47" si="30">Producer*SUM(B47,E47,G47,I47)</f>
        <v>1.2375</v>
      </c>
      <c r="N47" s="20">
        <f>Gov*SUM(B47,D47,F47,F47,F47,H47,L47)</f>
        <v>0</v>
      </c>
      <c r="O47" s="20">
        <f t="shared" si="18"/>
        <v>0</v>
      </c>
      <c r="P47" s="33"/>
    </row>
    <row r="48" spans="1:16" s="9" customFormat="1" x14ac:dyDescent="0.55000000000000004">
      <c r="A48" s="11"/>
      <c r="B48" s="38"/>
      <c r="C48" s="38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0">
        <f>Gov*SUM(B94,D94,F94,H94)</f>
        <v>0</v>
      </c>
      <c r="O48" s="20"/>
      <c r="P48" s="30"/>
    </row>
    <row r="49" spans="1:16" x14ac:dyDescent="0.55000000000000004">
      <c r="A49" s="11"/>
      <c r="B49" s="27"/>
      <c r="C49" s="27"/>
      <c r="D49" s="27"/>
      <c r="E49" s="27"/>
      <c r="F49" s="27"/>
      <c r="G49" s="27"/>
      <c r="H49" s="27"/>
      <c r="I49" s="27"/>
      <c r="J49" s="28"/>
      <c r="K49" s="28"/>
      <c r="L49" s="27"/>
      <c r="M49" s="27"/>
      <c r="N49" s="20">
        <f>Gov*SUM(B49,D49,F49,F49,F49,H49,L49)</f>
        <v>0</v>
      </c>
      <c r="O49" s="20">
        <f t="shared" si="18"/>
        <v>0</v>
      </c>
      <c r="P49" s="17"/>
    </row>
    <row r="50" spans="1:16" x14ac:dyDescent="0.55000000000000004">
      <c r="A50" s="7" t="s">
        <v>57</v>
      </c>
      <c r="B50" s="27">
        <v>3</v>
      </c>
      <c r="C50" s="27">
        <v>4</v>
      </c>
      <c r="D50" s="27">
        <v>8</v>
      </c>
      <c r="E50" s="27">
        <v>10</v>
      </c>
      <c r="F50" s="27">
        <f t="shared" ref="F50" si="31">SUM(B50,D50)/8</f>
        <v>1.375</v>
      </c>
      <c r="G50" s="27">
        <f t="shared" ref="G50" si="32">SUM(C50,E50)/8</f>
        <v>1.75</v>
      </c>
      <c r="H50" s="27"/>
      <c r="I50" s="27"/>
      <c r="J50" s="28"/>
      <c r="K50" s="28"/>
      <c r="L50" s="27">
        <f t="shared" ref="L50" si="33">Producer*SUM(B50,D50,F50,H50)</f>
        <v>1.85625</v>
      </c>
      <c r="M50" s="27">
        <f t="shared" ref="M50" si="34">Producer*SUM(B50,E50,G50,I50)</f>
        <v>2.2124999999999999</v>
      </c>
      <c r="N50" s="20">
        <f t="shared" si="17"/>
        <v>0</v>
      </c>
      <c r="O50" s="20">
        <f t="shared" si="18"/>
        <v>0</v>
      </c>
      <c r="P50" s="17"/>
    </row>
    <row r="51" spans="1:16" x14ac:dyDescent="0.55000000000000004">
      <c r="A51" s="7" t="s">
        <v>58</v>
      </c>
      <c r="B51" s="27">
        <v>5</v>
      </c>
      <c r="C51" s="27">
        <v>6</v>
      </c>
      <c r="D51" s="27">
        <v>10</v>
      </c>
      <c r="E51" s="27">
        <v>12</v>
      </c>
      <c r="F51" s="27">
        <f>SUM(B51,D51)/8</f>
        <v>1.875</v>
      </c>
      <c r="G51" s="27">
        <f t="shared" ref="G51:G54" si="35">SUM(C51,E51)/8</f>
        <v>2.25</v>
      </c>
      <c r="H51" s="27">
        <f t="shared" ref="H51:H54" si="36">SUM(B51,D51)*QA</f>
        <v>3.75</v>
      </c>
      <c r="I51" s="27">
        <f t="shared" ref="I51:I54" si="37">SUM(C51,E51)*QA</f>
        <v>4.5</v>
      </c>
      <c r="J51" s="28"/>
      <c r="K51" s="28"/>
      <c r="L51" s="27">
        <f t="shared" ref="L51:L54" si="38">Producer*SUM(B51,D51,F51,H51)</f>
        <v>3.09375</v>
      </c>
      <c r="M51" s="27">
        <f t="shared" ref="M51:M54" si="39">Producer*SUM(B51,E51,G51,I51)</f>
        <v>3.5625</v>
      </c>
      <c r="N51" s="20">
        <f t="shared" si="17"/>
        <v>0</v>
      </c>
      <c r="O51" s="20">
        <f t="shared" si="18"/>
        <v>0</v>
      </c>
    </row>
    <row r="52" spans="1:16" x14ac:dyDescent="0.55000000000000004">
      <c r="A52" s="11" t="s">
        <v>59</v>
      </c>
      <c r="B52" s="27">
        <v>4</v>
      </c>
      <c r="C52" s="27">
        <v>4</v>
      </c>
      <c r="D52" s="27">
        <v>6</v>
      </c>
      <c r="E52" s="27">
        <v>8</v>
      </c>
      <c r="F52" s="27">
        <f t="shared" ref="F52" si="40">SUM(B52,D52)/8</f>
        <v>1.25</v>
      </c>
      <c r="G52" s="27">
        <f t="shared" ref="G52" si="41">SUM(C52,E52)/8</f>
        <v>1.5</v>
      </c>
      <c r="H52" s="27">
        <f t="shared" ref="H52" si="42">SUM(B52,D52)*QA</f>
        <v>2.5</v>
      </c>
      <c r="I52" s="27">
        <f t="shared" ref="I52" si="43">SUM(C52,E52)*QA</f>
        <v>3</v>
      </c>
      <c r="J52" s="28"/>
      <c r="K52" s="28"/>
      <c r="L52" s="27">
        <f t="shared" ref="L52" si="44">Producer*SUM(B52,D52,F52,H52)</f>
        <v>2.0625</v>
      </c>
      <c r="M52" s="27">
        <f t="shared" ref="M52" si="45">Producer*SUM(B52,E52,G52,I52)</f>
        <v>2.4750000000000001</v>
      </c>
      <c r="N52" s="20">
        <f t="shared" si="17"/>
        <v>0</v>
      </c>
      <c r="O52" s="20">
        <f t="shared" si="18"/>
        <v>0</v>
      </c>
      <c r="P52" s="37"/>
    </row>
    <row r="53" spans="1:16" x14ac:dyDescent="0.55000000000000004">
      <c r="A53" s="11" t="s">
        <v>60</v>
      </c>
      <c r="B53" s="27">
        <v>4</v>
      </c>
      <c r="C53" s="27">
        <v>6</v>
      </c>
      <c r="D53" s="27">
        <v>1</v>
      </c>
      <c r="E53" s="27">
        <v>1</v>
      </c>
      <c r="F53" s="27">
        <f t="shared" ref="F53" si="46">SUM(B53,D53)/8</f>
        <v>0.625</v>
      </c>
      <c r="G53" s="27">
        <f t="shared" ref="G53" si="47">SUM(C53,E53)/8</f>
        <v>0.875</v>
      </c>
      <c r="H53" s="27">
        <f t="shared" ref="H53" si="48">SUM(B53,D53)*QA</f>
        <v>1.25</v>
      </c>
      <c r="I53" s="27">
        <f t="shared" ref="I53" si="49">SUM(C53,E53)*QA</f>
        <v>1.75</v>
      </c>
      <c r="J53" s="28"/>
      <c r="K53" s="28"/>
      <c r="L53" s="27">
        <f t="shared" ref="L53" si="50">Producer*SUM(B53,D53,F53,H53)</f>
        <v>1.03125</v>
      </c>
      <c r="M53" s="27">
        <f t="shared" ref="M53" si="51">Producer*SUM(B53,E53,G53,I53)</f>
        <v>1.14375</v>
      </c>
      <c r="N53" s="20">
        <f t="shared" si="17"/>
        <v>0</v>
      </c>
      <c r="O53" s="20">
        <f t="shared" si="18"/>
        <v>0</v>
      </c>
      <c r="P53" s="17"/>
    </row>
    <row r="54" spans="1:16" x14ac:dyDescent="0.55000000000000004">
      <c r="A54" s="7" t="s">
        <v>61</v>
      </c>
      <c r="B54" s="27">
        <v>3</v>
      </c>
      <c r="C54" s="27">
        <v>4</v>
      </c>
      <c r="D54" s="27">
        <v>6</v>
      </c>
      <c r="E54" s="27">
        <v>8</v>
      </c>
      <c r="F54" s="27">
        <f t="shared" ref="F54" si="52">SUM(B54,D54)/8</f>
        <v>1.125</v>
      </c>
      <c r="G54" s="27">
        <f t="shared" si="35"/>
        <v>1.5</v>
      </c>
      <c r="H54" s="27">
        <f t="shared" si="36"/>
        <v>2.25</v>
      </c>
      <c r="I54" s="27">
        <f t="shared" si="37"/>
        <v>3</v>
      </c>
      <c r="J54" s="28"/>
      <c r="K54" s="28"/>
      <c r="L54" s="27">
        <f t="shared" si="38"/>
        <v>1.85625</v>
      </c>
      <c r="M54" s="27">
        <f t="shared" si="39"/>
        <v>2.3249999999999997</v>
      </c>
      <c r="N54" s="20">
        <f t="shared" si="17"/>
        <v>0</v>
      </c>
      <c r="O54" s="20">
        <f t="shared" si="18"/>
        <v>0</v>
      </c>
      <c r="P54" s="32"/>
    </row>
    <row r="55" spans="1:16" x14ac:dyDescent="0.55000000000000004">
      <c r="A55" s="7" t="s">
        <v>62</v>
      </c>
      <c r="B55" s="27">
        <v>0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8</v>
      </c>
      <c r="I55" s="27">
        <v>16</v>
      </c>
      <c r="J55" s="27"/>
      <c r="K55" s="27"/>
      <c r="L55" s="27">
        <f t="shared" si="26"/>
        <v>1.2</v>
      </c>
      <c r="M55" s="27">
        <f t="shared" si="27"/>
        <v>2.4</v>
      </c>
      <c r="N55" s="20">
        <f t="shared" si="17"/>
        <v>0</v>
      </c>
      <c r="O55" s="20">
        <f t="shared" si="18"/>
        <v>0</v>
      </c>
      <c r="P55" s="32"/>
    </row>
    <row r="56" spans="1:16" x14ac:dyDescent="0.55000000000000004">
      <c r="A56" s="7" t="s">
        <v>63</v>
      </c>
      <c r="B56" s="27">
        <v>3</v>
      </c>
      <c r="C56" s="27">
        <v>4</v>
      </c>
      <c r="D56" s="27">
        <v>4</v>
      </c>
      <c r="E56" s="27">
        <v>6</v>
      </c>
      <c r="F56" s="27">
        <f>SUM(B56,D56)/8</f>
        <v>0.875</v>
      </c>
      <c r="G56" s="27">
        <f>SUM(C56,E56)/8</f>
        <v>1.25</v>
      </c>
      <c r="H56" s="27">
        <f t="shared" ref="H56:I58" si="53">SUM(B56,D56)*QA</f>
        <v>1.75</v>
      </c>
      <c r="I56" s="27">
        <f t="shared" si="53"/>
        <v>2.5</v>
      </c>
      <c r="J56" s="27"/>
      <c r="K56" s="27"/>
      <c r="L56" s="27">
        <f t="shared" si="26"/>
        <v>1.4437499999999999</v>
      </c>
      <c r="M56" s="27">
        <f t="shared" si="27"/>
        <v>1.9124999999999999</v>
      </c>
      <c r="N56" s="20">
        <f t="shared" si="17"/>
        <v>0</v>
      </c>
      <c r="O56" s="20">
        <f t="shared" si="18"/>
        <v>0</v>
      </c>
      <c r="P56" s="32"/>
    </row>
    <row r="57" spans="1:16" x14ac:dyDescent="0.55000000000000004">
      <c r="A57" s="7" t="s">
        <v>64</v>
      </c>
      <c r="B57" s="27">
        <v>6</v>
      </c>
      <c r="C57" s="27">
        <v>8</v>
      </c>
      <c r="D57" s="27">
        <v>8</v>
      </c>
      <c r="E57" s="27">
        <v>12</v>
      </c>
      <c r="F57" s="27">
        <f>SUM(B57,D57)/8</f>
        <v>1.75</v>
      </c>
      <c r="G57" s="27">
        <f>SUM(C57,E57)/8</f>
        <v>2.5</v>
      </c>
      <c r="H57" s="27">
        <f t="shared" si="53"/>
        <v>3.5</v>
      </c>
      <c r="I57" s="27">
        <f t="shared" si="53"/>
        <v>5</v>
      </c>
      <c r="J57" s="27"/>
      <c r="K57" s="27"/>
      <c r="L57" s="27">
        <f t="shared" si="26"/>
        <v>2.8874999999999997</v>
      </c>
      <c r="M57" s="27">
        <f t="shared" si="27"/>
        <v>3.8249999999999997</v>
      </c>
      <c r="N57" s="20">
        <f t="shared" si="17"/>
        <v>0</v>
      </c>
      <c r="O57" s="20">
        <f t="shared" si="18"/>
        <v>0</v>
      </c>
      <c r="P57" s="32" t="s">
        <v>65</v>
      </c>
    </row>
    <row r="58" spans="1:16" x14ac:dyDescent="0.55000000000000004">
      <c r="A58" s="29" t="s">
        <v>66</v>
      </c>
      <c r="B58" s="27"/>
      <c r="C58" s="27"/>
      <c r="D58" s="27"/>
      <c r="E58" s="27"/>
      <c r="F58" s="27"/>
      <c r="G58" s="27"/>
      <c r="H58" s="27">
        <f t="shared" si="53"/>
        <v>0</v>
      </c>
      <c r="I58" s="27">
        <f t="shared" si="53"/>
        <v>0</v>
      </c>
      <c r="J58" s="28"/>
      <c r="K58" s="28"/>
      <c r="L58" s="27">
        <f t="shared" si="26"/>
        <v>0</v>
      </c>
      <c r="M58" s="27">
        <f t="shared" si="27"/>
        <v>0</v>
      </c>
      <c r="N58" s="20">
        <f t="shared" si="17"/>
        <v>0</v>
      </c>
      <c r="O58" s="20">
        <f t="shared" si="18"/>
        <v>0</v>
      </c>
      <c r="P58" s="32"/>
    </row>
    <row r="59" spans="1:16" x14ac:dyDescent="0.55000000000000004">
      <c r="A59" s="11" t="s">
        <v>67</v>
      </c>
      <c r="B59" s="27">
        <v>0</v>
      </c>
      <c r="C59" s="27">
        <v>1</v>
      </c>
      <c r="D59" s="27">
        <v>0</v>
      </c>
      <c r="E59" s="27">
        <v>1</v>
      </c>
      <c r="F59" s="27">
        <v>2</v>
      </c>
      <c r="G59" s="27">
        <v>3</v>
      </c>
      <c r="H59" s="27">
        <f t="shared" ref="H59:H62" si="54">SUM(B59,D59)*QA</f>
        <v>0</v>
      </c>
      <c r="I59" s="27"/>
      <c r="J59" s="28"/>
      <c r="K59" s="28"/>
      <c r="L59" s="27">
        <f t="shared" si="26"/>
        <v>0.3</v>
      </c>
      <c r="M59" s="27">
        <f t="shared" ref="M59:M63" si="55">Producer*SUM(B59,E59,G59,I59)</f>
        <v>0.6</v>
      </c>
      <c r="N59" s="20">
        <f t="shared" si="17"/>
        <v>0</v>
      </c>
      <c r="O59" s="20">
        <f t="shared" si="18"/>
        <v>0</v>
      </c>
      <c r="P59" s="32"/>
    </row>
    <row r="60" spans="1:16" x14ac:dyDescent="0.55000000000000004">
      <c r="A60" s="29" t="s">
        <v>68</v>
      </c>
      <c r="B60" s="27"/>
      <c r="C60" s="27"/>
      <c r="D60" s="27"/>
      <c r="E60" s="27"/>
      <c r="F60" s="27"/>
      <c r="G60" s="27"/>
      <c r="H60" s="27">
        <f t="shared" si="54"/>
        <v>0</v>
      </c>
      <c r="I60" s="27">
        <f t="shared" ref="I60:I62" si="56">SUM(C60,E60)*QA</f>
        <v>0</v>
      </c>
      <c r="J60" s="28"/>
      <c r="K60" s="28"/>
      <c r="L60" s="27">
        <f t="shared" ref="L60:L63" si="57">Producer*SUM(B60,D60,F60,H60)</f>
        <v>0</v>
      </c>
      <c r="M60" s="27">
        <f t="shared" si="55"/>
        <v>0</v>
      </c>
      <c r="N60" s="20">
        <f t="shared" si="17"/>
        <v>0</v>
      </c>
      <c r="O60" s="20">
        <f t="shared" si="18"/>
        <v>0</v>
      </c>
      <c r="P60" s="32"/>
    </row>
    <row r="61" spans="1:16" x14ac:dyDescent="0.55000000000000004">
      <c r="A61" s="11" t="s">
        <v>69</v>
      </c>
      <c r="B61" s="27"/>
      <c r="C61" s="27"/>
      <c r="D61" s="27"/>
      <c r="E61" s="27"/>
      <c r="F61" s="27">
        <v>2</v>
      </c>
      <c r="G61" s="27">
        <v>2</v>
      </c>
      <c r="H61" s="27">
        <f t="shared" si="54"/>
        <v>0</v>
      </c>
      <c r="I61" s="27">
        <f t="shared" si="56"/>
        <v>0</v>
      </c>
      <c r="J61" s="28"/>
      <c r="K61" s="28"/>
      <c r="L61" s="27">
        <f t="shared" si="57"/>
        <v>0.3</v>
      </c>
      <c r="M61" s="27">
        <f t="shared" si="55"/>
        <v>0.3</v>
      </c>
      <c r="N61" s="20">
        <f t="shared" si="17"/>
        <v>0</v>
      </c>
      <c r="O61" s="20">
        <f t="shared" si="18"/>
        <v>0</v>
      </c>
      <c r="P61" s="32" t="s">
        <v>70</v>
      </c>
    </row>
    <row r="62" spans="1:16" x14ac:dyDescent="0.55000000000000004">
      <c r="A62" s="11" t="s">
        <v>71</v>
      </c>
      <c r="B62" s="27"/>
      <c r="C62" s="27"/>
      <c r="D62" s="27"/>
      <c r="E62" s="27"/>
      <c r="F62" s="27">
        <v>1</v>
      </c>
      <c r="G62" s="27">
        <v>1</v>
      </c>
      <c r="H62" s="27">
        <f t="shared" si="54"/>
        <v>0</v>
      </c>
      <c r="I62" s="27">
        <f t="shared" si="56"/>
        <v>0</v>
      </c>
      <c r="J62" s="28"/>
      <c r="K62" s="28"/>
      <c r="L62" s="27">
        <f t="shared" si="57"/>
        <v>0.15</v>
      </c>
      <c r="M62" s="27">
        <f t="shared" si="55"/>
        <v>0.15</v>
      </c>
      <c r="N62" s="20">
        <f t="shared" si="17"/>
        <v>0</v>
      </c>
      <c r="O62" s="20">
        <f t="shared" si="18"/>
        <v>0</v>
      </c>
      <c r="P62" s="32" t="s">
        <v>70</v>
      </c>
    </row>
    <row r="63" spans="1:16" x14ac:dyDescent="0.55000000000000004">
      <c r="A63" s="11" t="s">
        <v>72</v>
      </c>
      <c r="B63" s="27"/>
      <c r="C63" s="27"/>
      <c r="D63" s="27"/>
      <c r="E63" s="27"/>
      <c r="F63" s="27"/>
      <c r="G63" s="27"/>
      <c r="H63" s="27">
        <v>6</v>
      </c>
      <c r="I63" s="27">
        <v>8</v>
      </c>
      <c r="J63" s="28"/>
      <c r="K63" s="28"/>
      <c r="L63" s="27">
        <f t="shared" si="57"/>
        <v>0.89999999999999991</v>
      </c>
      <c r="M63" s="27">
        <f t="shared" si="55"/>
        <v>1.2</v>
      </c>
      <c r="N63" s="20">
        <f t="shared" si="17"/>
        <v>0</v>
      </c>
      <c r="O63" s="20">
        <f t="shared" si="18"/>
        <v>0</v>
      </c>
      <c r="P63" s="32" t="s">
        <v>73</v>
      </c>
    </row>
    <row r="64" spans="1:16" x14ac:dyDescent="0.55000000000000004">
      <c r="A64" s="15" t="s">
        <v>74</v>
      </c>
      <c r="B64" s="27"/>
      <c r="C64" s="27"/>
      <c r="D64" s="27"/>
      <c r="E64" s="27"/>
      <c r="F64" s="27">
        <f t="shared" ref="F64:F67" si="58">SUM(B64,D64)/8</f>
        <v>0</v>
      </c>
      <c r="G64" s="27">
        <f>SUM(C64,E64)/8</f>
        <v>0</v>
      </c>
      <c r="H64" s="27">
        <f t="shared" ref="H64:H67" si="59">SUM(B64,D64)*QA</f>
        <v>0</v>
      </c>
      <c r="I64" s="27">
        <f>SUM(C64,E64)*QA</f>
        <v>0</v>
      </c>
      <c r="J64" s="28"/>
      <c r="K64" s="28"/>
      <c r="L64" s="27">
        <f t="shared" ref="L64:L67" si="60">Producer*SUM(B64,D64,F64,H64)</f>
        <v>0</v>
      </c>
      <c r="M64" s="27">
        <f>Producer*SUM(B64,E64,G64,I64)</f>
        <v>0</v>
      </c>
      <c r="N64" s="20">
        <f t="shared" si="17"/>
        <v>0</v>
      </c>
      <c r="O64" s="20">
        <f t="shared" si="18"/>
        <v>0</v>
      </c>
      <c r="P64" s="32"/>
    </row>
    <row r="65" spans="1:16" x14ac:dyDescent="0.55000000000000004">
      <c r="A65" s="11" t="s">
        <v>75</v>
      </c>
      <c r="B65" s="27"/>
      <c r="C65" s="27"/>
      <c r="D65" s="27">
        <v>3</v>
      </c>
      <c r="E65" s="27">
        <v>4</v>
      </c>
      <c r="F65" s="27">
        <f t="shared" si="58"/>
        <v>0.375</v>
      </c>
      <c r="G65" s="27">
        <f t="shared" ref="G65:G67" si="61">SUM(C65,E65)/8</f>
        <v>0.5</v>
      </c>
      <c r="H65" s="27">
        <f t="shared" si="59"/>
        <v>0.75</v>
      </c>
      <c r="I65" s="27">
        <f t="shared" ref="I65:I67" si="62">SUM(C65,E65)*QA</f>
        <v>1</v>
      </c>
      <c r="J65" s="28"/>
      <c r="K65" s="28"/>
      <c r="L65" s="27">
        <f t="shared" si="60"/>
        <v>0.61875000000000002</v>
      </c>
      <c r="M65" s="27">
        <f t="shared" ref="M65:M67" si="63">Producer*SUM(B65,E65,G65,I65)</f>
        <v>0.82499999999999996</v>
      </c>
      <c r="N65" s="20">
        <f t="shared" si="17"/>
        <v>0</v>
      </c>
      <c r="O65" s="20">
        <f t="shared" si="18"/>
        <v>0</v>
      </c>
      <c r="P65" s="32" t="s">
        <v>76</v>
      </c>
    </row>
    <row r="66" spans="1:16" x14ac:dyDescent="0.55000000000000004">
      <c r="A66" s="11" t="s">
        <v>77</v>
      </c>
      <c r="B66" s="27"/>
      <c r="C66" s="27"/>
      <c r="D66" s="27">
        <v>3</v>
      </c>
      <c r="E66" s="27">
        <v>4</v>
      </c>
      <c r="F66" s="27">
        <f t="shared" si="58"/>
        <v>0.375</v>
      </c>
      <c r="G66" s="27">
        <f t="shared" si="61"/>
        <v>0.5</v>
      </c>
      <c r="H66" s="27">
        <f t="shared" si="59"/>
        <v>0.75</v>
      </c>
      <c r="I66" s="27">
        <f t="shared" si="62"/>
        <v>1</v>
      </c>
      <c r="J66" s="28"/>
      <c r="K66" s="28"/>
      <c r="L66" s="27">
        <f t="shared" si="60"/>
        <v>0.61875000000000002</v>
      </c>
      <c r="M66" s="27">
        <f t="shared" si="63"/>
        <v>0.82499999999999996</v>
      </c>
      <c r="N66" s="20">
        <f t="shared" si="17"/>
        <v>0</v>
      </c>
      <c r="O66" s="20">
        <f t="shared" si="18"/>
        <v>0</v>
      </c>
      <c r="P66" s="32" t="s">
        <v>76</v>
      </c>
    </row>
    <row r="67" spans="1:16" x14ac:dyDescent="0.55000000000000004">
      <c r="A67" s="11" t="s">
        <v>78</v>
      </c>
      <c r="B67" s="27"/>
      <c r="C67" s="27"/>
      <c r="D67" s="27">
        <v>2</v>
      </c>
      <c r="E67" s="27">
        <v>4</v>
      </c>
      <c r="F67" s="27">
        <f t="shared" si="58"/>
        <v>0.25</v>
      </c>
      <c r="G67" s="27">
        <f t="shared" si="61"/>
        <v>0.5</v>
      </c>
      <c r="H67" s="27">
        <f t="shared" si="59"/>
        <v>0.5</v>
      </c>
      <c r="I67" s="27">
        <f t="shared" si="62"/>
        <v>1</v>
      </c>
      <c r="J67" s="28"/>
      <c r="K67" s="28"/>
      <c r="L67" s="27">
        <f t="shared" si="60"/>
        <v>0.41249999999999998</v>
      </c>
      <c r="M67" s="27">
        <f t="shared" si="63"/>
        <v>0.82499999999999996</v>
      </c>
      <c r="N67" s="20">
        <f t="shared" si="17"/>
        <v>0</v>
      </c>
      <c r="O67" s="20">
        <f t="shared" si="18"/>
        <v>0</v>
      </c>
      <c r="P67" s="32" t="s">
        <v>79</v>
      </c>
    </row>
    <row r="68" spans="1:16" x14ac:dyDescent="0.55000000000000004">
      <c r="A68" s="12" t="s">
        <v>80</v>
      </c>
      <c r="B68" s="23">
        <f t="shared" ref="B68:O68" si="64">SUM(B5:B67)</f>
        <v>44</v>
      </c>
      <c r="C68" s="23">
        <f t="shared" si="64"/>
        <v>65</v>
      </c>
      <c r="D68" s="23">
        <f t="shared" si="64"/>
        <v>433</v>
      </c>
      <c r="E68" s="23">
        <f t="shared" si="64"/>
        <v>820</v>
      </c>
      <c r="F68" s="23">
        <f t="shared" si="64"/>
        <v>65.375</v>
      </c>
      <c r="G68" s="23">
        <f t="shared" si="64"/>
        <v>114.125</v>
      </c>
      <c r="H68" s="23">
        <f t="shared" si="64"/>
        <v>108.5</v>
      </c>
      <c r="I68" s="23">
        <f t="shared" si="64"/>
        <v>166.75</v>
      </c>
      <c r="J68" s="23">
        <f t="shared" si="64"/>
        <v>0</v>
      </c>
      <c r="K68" s="23">
        <f t="shared" si="64"/>
        <v>0</v>
      </c>
      <c r="L68" s="23">
        <f t="shared" si="64"/>
        <v>64.968749999999986</v>
      </c>
      <c r="M68" s="23">
        <f t="shared" si="64"/>
        <v>99.931249999999991</v>
      </c>
      <c r="N68" s="23">
        <f t="shared" si="64"/>
        <v>0.96250000000000002</v>
      </c>
      <c r="O68" s="23">
        <f t="shared" si="64"/>
        <v>0</v>
      </c>
      <c r="P68" s="32"/>
    </row>
    <row r="69" spans="1:16" x14ac:dyDescent="0.55000000000000004">
      <c r="A69" s="11" t="s">
        <v>81</v>
      </c>
      <c r="B69" s="20">
        <f t="shared" ref="B69:C69" si="65">Agile*B68</f>
        <v>6.6</v>
      </c>
      <c r="C69" s="20">
        <f t="shared" si="65"/>
        <v>9.75</v>
      </c>
      <c r="D69" s="20">
        <f t="shared" ref="D69:I69" si="66">Agile*D68</f>
        <v>64.95</v>
      </c>
      <c r="E69" s="20">
        <f t="shared" si="66"/>
        <v>123</v>
      </c>
      <c r="F69" s="20">
        <f t="shared" si="66"/>
        <v>9.8062500000000004</v>
      </c>
      <c r="G69" s="20">
        <f t="shared" si="66"/>
        <v>17.118749999999999</v>
      </c>
      <c r="H69" s="20">
        <f t="shared" si="66"/>
        <v>16.274999999999999</v>
      </c>
      <c r="I69" s="20">
        <f t="shared" si="66"/>
        <v>25.012499999999999</v>
      </c>
      <c r="J69" s="20">
        <f t="shared" ref="J69:K69" si="67">Agile*J68</f>
        <v>0</v>
      </c>
      <c r="K69" s="20">
        <f t="shared" si="67"/>
        <v>0</v>
      </c>
      <c r="L69" s="20">
        <f t="shared" ref="L69:M69" si="68">Agile*L68</f>
        <v>9.7453124999999972</v>
      </c>
      <c r="M69" s="20">
        <f t="shared" si="68"/>
        <v>14.989687499999999</v>
      </c>
      <c r="N69" s="20">
        <f t="shared" ref="N69:O69" si="69">Agile*N68</f>
        <v>0.144375</v>
      </c>
      <c r="O69" s="20">
        <f t="shared" si="69"/>
        <v>0</v>
      </c>
      <c r="P69" s="32"/>
    </row>
    <row r="70" spans="1:16" x14ac:dyDescent="0.55000000000000004">
      <c r="A70" s="11" t="s">
        <v>82</v>
      </c>
      <c r="B70" s="20">
        <f t="shared" ref="B70:M70" si="70">SUM(B68:B69)</f>
        <v>50.6</v>
      </c>
      <c r="C70" s="20">
        <f t="shared" si="70"/>
        <v>74.75</v>
      </c>
      <c r="D70" s="20">
        <f t="shared" si="70"/>
        <v>497.95</v>
      </c>
      <c r="E70" s="20">
        <f t="shared" si="70"/>
        <v>943</v>
      </c>
      <c r="F70" s="20">
        <f t="shared" si="70"/>
        <v>75.181250000000006</v>
      </c>
      <c r="G70" s="20">
        <f t="shared" si="70"/>
        <v>131.24375000000001</v>
      </c>
      <c r="H70" s="20">
        <f t="shared" si="70"/>
        <v>124.77500000000001</v>
      </c>
      <c r="I70" s="20">
        <f t="shared" si="70"/>
        <v>191.76249999999999</v>
      </c>
      <c r="J70" s="20">
        <f t="shared" si="70"/>
        <v>0</v>
      </c>
      <c r="K70" s="20">
        <f t="shared" si="70"/>
        <v>0</v>
      </c>
      <c r="L70" s="20">
        <f t="shared" si="70"/>
        <v>74.714062499999983</v>
      </c>
      <c r="M70" s="20">
        <f t="shared" si="70"/>
        <v>114.92093749999999</v>
      </c>
      <c r="N70" s="20">
        <f t="shared" ref="N70:O70" si="71">SUM(N68:N69)</f>
        <v>1.1068750000000001</v>
      </c>
      <c r="O70" s="20">
        <f t="shared" si="71"/>
        <v>0</v>
      </c>
      <c r="P70" s="32"/>
    </row>
    <row r="71" spans="1:16" ht="14.7" thickBot="1" x14ac:dyDescent="0.6">
      <c r="A71" s="11" t="s">
        <v>83</v>
      </c>
      <c r="B71" s="25">
        <f t="shared" ref="B71:I71" si="72">B70*(1+Buffer)</f>
        <v>55.660000000000004</v>
      </c>
      <c r="C71" s="25">
        <f t="shared" si="72"/>
        <v>82.225000000000009</v>
      </c>
      <c r="D71" s="25">
        <f t="shared" si="72"/>
        <v>547.745</v>
      </c>
      <c r="E71" s="25">
        <f>E70*(1+Buffer)</f>
        <v>1037.3000000000002</v>
      </c>
      <c r="F71" s="25">
        <f t="shared" si="72"/>
        <v>82.699375000000018</v>
      </c>
      <c r="G71" s="25">
        <f t="shared" si="72"/>
        <v>144.36812500000002</v>
      </c>
      <c r="H71" s="25">
        <f t="shared" si="72"/>
        <v>137.25250000000003</v>
      </c>
      <c r="I71" s="25">
        <f t="shared" si="72"/>
        <v>210.93875</v>
      </c>
      <c r="J71" s="25">
        <f t="shared" ref="J71:K71" si="73">J70*1.15</f>
        <v>0</v>
      </c>
      <c r="K71" s="25">
        <f t="shared" si="73"/>
        <v>0</v>
      </c>
      <c r="L71" s="25">
        <f>L70*(1+Buffer)</f>
        <v>82.185468749999984</v>
      </c>
      <c r="M71" s="25">
        <f>M70*(1+Buffer)</f>
        <v>126.41303125</v>
      </c>
      <c r="N71" s="25">
        <f>N70*(1+Buffer)</f>
        <v>1.2175625000000001</v>
      </c>
      <c r="O71" s="25">
        <f>O70*(1+Buffer)</f>
        <v>0</v>
      </c>
      <c r="P71" s="32"/>
    </row>
    <row r="72" spans="1:16" ht="15" thickTop="1" thickBot="1" x14ac:dyDescent="0.6">
      <c r="A72" s="11" t="s">
        <v>84</v>
      </c>
      <c r="B72" s="26">
        <f>B71/40</f>
        <v>1.3915000000000002</v>
      </c>
      <c r="C72" s="26">
        <f t="shared" ref="C72:M72" si="74">C71/40</f>
        <v>2.055625</v>
      </c>
      <c r="D72" s="26">
        <f t="shared" si="74"/>
        <v>13.693625000000001</v>
      </c>
      <c r="E72" s="26">
        <f t="shared" si="74"/>
        <v>25.932500000000005</v>
      </c>
      <c r="F72" s="26">
        <f t="shared" si="74"/>
        <v>2.0674843750000003</v>
      </c>
      <c r="G72" s="26">
        <f t="shared" si="74"/>
        <v>3.6092031250000005</v>
      </c>
      <c r="H72" s="26">
        <f t="shared" si="74"/>
        <v>3.4313125000000007</v>
      </c>
      <c r="I72" s="26">
        <f t="shared" si="74"/>
        <v>5.2734687500000001</v>
      </c>
      <c r="J72" s="26">
        <f t="shared" si="74"/>
        <v>0</v>
      </c>
      <c r="K72" s="26">
        <f t="shared" si="74"/>
        <v>0</v>
      </c>
      <c r="L72" s="26">
        <f t="shared" si="74"/>
        <v>2.0546367187499994</v>
      </c>
      <c r="M72" s="26">
        <f t="shared" si="74"/>
        <v>3.1603257812500001</v>
      </c>
      <c r="N72" s="26">
        <f t="shared" ref="N72:O72" si="75">N71/40</f>
        <v>3.0439062500000003E-2</v>
      </c>
      <c r="O72" s="26">
        <f t="shared" si="75"/>
        <v>0</v>
      </c>
      <c r="P72" s="32"/>
    </row>
    <row r="73" spans="1:16" s="15" customFormat="1" ht="15" thickTop="1" thickBot="1" x14ac:dyDescent="0.6">
      <c r="A73" s="13" t="s">
        <v>85</v>
      </c>
      <c r="B73" s="1">
        <v>100</v>
      </c>
      <c r="C73" s="1">
        <v>100</v>
      </c>
      <c r="D73" s="1">
        <v>100</v>
      </c>
      <c r="E73" s="1">
        <v>100</v>
      </c>
      <c r="F73" s="1">
        <v>150</v>
      </c>
      <c r="G73" s="1">
        <v>150</v>
      </c>
      <c r="H73" s="1">
        <v>95</v>
      </c>
      <c r="I73" s="1">
        <v>95</v>
      </c>
      <c r="J73" s="1">
        <v>90</v>
      </c>
      <c r="K73" s="1">
        <v>90</v>
      </c>
      <c r="L73" s="1">
        <v>125</v>
      </c>
      <c r="M73" s="1">
        <v>125</v>
      </c>
      <c r="N73" s="1">
        <v>240</v>
      </c>
      <c r="O73" s="1">
        <v>240</v>
      </c>
      <c r="P73" s="34"/>
    </row>
    <row r="74" spans="1:16" ht="14.7" thickTop="1" x14ac:dyDescent="0.55000000000000004">
      <c r="A74" s="16" t="s">
        <v>86</v>
      </c>
      <c r="B74" s="21">
        <f>B73*B71</f>
        <v>5566</v>
      </c>
      <c r="C74" s="21">
        <f t="shared" ref="C74:M74" si="76">C73*C71</f>
        <v>8222.5</v>
      </c>
      <c r="D74" s="21">
        <f t="shared" si="76"/>
        <v>54774.5</v>
      </c>
      <c r="E74" s="21">
        <f>E73*E71</f>
        <v>103730.00000000001</v>
      </c>
      <c r="F74" s="21">
        <f t="shared" si="76"/>
        <v>12404.906250000002</v>
      </c>
      <c r="G74" s="21">
        <f t="shared" si="76"/>
        <v>21655.218750000004</v>
      </c>
      <c r="H74" s="21">
        <f t="shared" si="76"/>
        <v>13038.987500000003</v>
      </c>
      <c r="I74" s="21">
        <f t="shared" si="76"/>
        <v>20039.181250000001</v>
      </c>
      <c r="J74" s="21">
        <f t="shared" si="76"/>
        <v>0</v>
      </c>
      <c r="K74" s="21">
        <f t="shared" si="76"/>
        <v>0</v>
      </c>
      <c r="L74" s="21">
        <f t="shared" si="76"/>
        <v>10273.183593749998</v>
      </c>
      <c r="M74" s="21">
        <f t="shared" si="76"/>
        <v>15801.62890625</v>
      </c>
      <c r="N74" s="21">
        <f t="shared" ref="N74" si="77">N73*N71</f>
        <v>292.21500000000003</v>
      </c>
      <c r="O74" s="21">
        <f>O73*O71</f>
        <v>0</v>
      </c>
    </row>
    <row r="75" spans="1:16" x14ac:dyDescent="0.55000000000000004">
      <c r="A75" s="11"/>
      <c r="B75" s="11"/>
      <c r="C75" s="11"/>
    </row>
    <row r="76" spans="1:16" x14ac:dyDescent="0.55000000000000004">
      <c r="A76" s="11"/>
      <c r="B76" s="11"/>
      <c r="C76" s="11"/>
    </row>
    <row r="77" spans="1:16" x14ac:dyDescent="0.55000000000000004">
      <c r="A77" s="16" t="s">
        <v>87</v>
      </c>
      <c r="B77" s="16"/>
      <c r="C77" s="16"/>
      <c r="F77" s="6" t="s">
        <v>88</v>
      </c>
      <c r="G77" s="6" t="s">
        <v>89</v>
      </c>
      <c r="H77" s="6" t="s">
        <v>90</v>
      </c>
    </row>
    <row r="78" spans="1:16" x14ac:dyDescent="0.55000000000000004">
      <c r="A78" s="10" t="s">
        <v>91</v>
      </c>
      <c r="B78" s="17"/>
      <c r="C78" s="17"/>
      <c r="F78" s="22">
        <f>SUM(D74,F74,H74,L74, B74,J74,N74)</f>
        <v>96349.792343749999</v>
      </c>
      <c r="G78" s="22">
        <f>SUM(F78,H78)/2</f>
        <v>132899.16062500002</v>
      </c>
      <c r="H78" s="22">
        <f>SUM(E74,G74,I74,M74, C74,K74,O74)</f>
        <v>169448.52890625002</v>
      </c>
    </row>
    <row r="79" spans="1:16" x14ac:dyDescent="0.55000000000000004">
      <c r="A79" s="10" t="s">
        <v>92</v>
      </c>
      <c r="B79" s="10"/>
      <c r="C79" s="10"/>
    </row>
    <row r="80" spans="1:16" x14ac:dyDescent="0.55000000000000004">
      <c r="A80" s="6" t="s">
        <v>93</v>
      </c>
      <c r="B80" s="10"/>
      <c r="C80" s="10"/>
    </row>
    <row r="81" spans="1:5" x14ac:dyDescent="0.55000000000000004">
      <c r="A81" s="10" t="s">
        <v>94</v>
      </c>
      <c r="B81" s="10"/>
      <c r="C81" s="10"/>
    </row>
    <row r="82" spans="1:5" x14ac:dyDescent="0.55000000000000004">
      <c r="A82" s="10" t="s">
        <v>95</v>
      </c>
      <c r="B82" s="10"/>
      <c r="C82" s="10"/>
      <c r="D82" s="15" t="s">
        <v>81</v>
      </c>
      <c r="E82" s="15" t="s">
        <v>96</v>
      </c>
    </row>
    <row r="83" spans="1:5" x14ac:dyDescent="0.55000000000000004">
      <c r="A83" s="10"/>
      <c r="B83" s="10"/>
      <c r="C83" s="10"/>
      <c r="D83" s="18">
        <v>0.15</v>
      </c>
      <c r="E83" s="19">
        <v>0.25</v>
      </c>
    </row>
    <row r="84" spans="1:5" x14ac:dyDescent="0.55000000000000004">
      <c r="A84" s="10"/>
      <c r="B84" s="10"/>
      <c r="C84" s="10"/>
      <c r="D84" s="15" t="s">
        <v>97</v>
      </c>
      <c r="E84" s="15" t="s">
        <v>98</v>
      </c>
    </row>
    <row r="85" spans="1:5" x14ac:dyDescent="0.55000000000000004">
      <c r="A85" s="10"/>
      <c r="B85" s="10"/>
      <c r="C85" s="10"/>
      <c r="D85" s="18">
        <v>0.15</v>
      </c>
      <c r="E85" s="18">
        <v>0.1</v>
      </c>
    </row>
    <row r="86" spans="1:5" x14ac:dyDescent="0.55000000000000004">
      <c r="A86" s="10"/>
      <c r="B86" s="10"/>
      <c r="C86" s="10"/>
      <c r="D86" s="15" t="s">
        <v>99</v>
      </c>
    </row>
    <row r="87" spans="1:5" x14ac:dyDescent="0.55000000000000004">
      <c r="A87" s="10"/>
      <c r="B87" s="10"/>
      <c r="C87" s="10"/>
      <c r="D87" s="36">
        <v>0</v>
      </c>
    </row>
    <row r="88" spans="1:5" x14ac:dyDescent="0.55000000000000004">
      <c r="A88" s="10"/>
      <c r="B88" s="10"/>
      <c r="C88" s="10"/>
    </row>
    <row r="89" spans="1:5" x14ac:dyDescent="0.55000000000000004">
      <c r="A89" s="10"/>
      <c r="B89" s="10"/>
      <c r="C89" s="10"/>
    </row>
    <row r="90" spans="1:5" x14ac:dyDescent="0.55000000000000004">
      <c r="A90" s="10"/>
      <c r="B90" s="10"/>
      <c r="C90" s="10"/>
    </row>
    <row r="91" spans="1:5" x14ac:dyDescent="0.55000000000000004">
      <c r="A91" s="10"/>
    </row>
    <row r="92" spans="1:5" x14ac:dyDescent="0.55000000000000004">
      <c r="A92" s="10"/>
    </row>
    <row r="93" spans="1:5" x14ac:dyDescent="0.55000000000000004">
      <c r="A93" s="10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AABF4-931B-4778-BB7D-93FE8B301B3C}">
  <dimension ref="A1:P94"/>
  <sheetViews>
    <sheetView topLeftCell="A49" workbookViewId="0">
      <selection activeCell="A49" sqref="A1:XFD1048576"/>
    </sheetView>
  </sheetViews>
  <sheetFormatPr defaultRowHeight="14.4" x14ac:dyDescent="0.55000000000000004"/>
  <cols>
    <col min="1" max="1" width="86.68359375" bestFit="1" customWidth="1"/>
    <col min="6" max="8" width="10.26171875" bestFit="1" customWidth="1"/>
    <col min="16" max="16" width="54.15625" customWidth="1"/>
  </cols>
  <sheetData>
    <row r="1" spans="1:16" x14ac:dyDescent="0.5500000000000000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10"/>
    </row>
    <row r="2" spans="1:16" x14ac:dyDescent="0.5500000000000000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x14ac:dyDescent="0.55000000000000004">
      <c r="A3" s="4"/>
      <c r="B3" s="4"/>
      <c r="C3" s="4"/>
      <c r="D3" s="4"/>
      <c r="E3" s="4"/>
      <c r="F3" s="24"/>
      <c r="G3" s="4"/>
      <c r="H3" s="4"/>
      <c r="I3" s="4"/>
      <c r="J3" s="4"/>
      <c r="K3" s="4"/>
      <c r="L3" s="4"/>
      <c r="M3" s="4"/>
      <c r="N3" s="24"/>
      <c r="O3" s="4"/>
      <c r="P3" s="5"/>
    </row>
    <row r="4" spans="1:16" x14ac:dyDescent="0.55000000000000004">
      <c r="A4" s="29" t="s">
        <v>16</v>
      </c>
      <c r="B4" s="27"/>
      <c r="C4" s="27"/>
      <c r="D4" s="27"/>
      <c r="E4" s="27"/>
      <c r="F4" s="9"/>
      <c r="G4" s="9"/>
      <c r="H4" s="9"/>
      <c r="I4" s="9"/>
      <c r="J4" s="9"/>
      <c r="K4" s="9"/>
      <c r="L4" s="9"/>
      <c r="M4" s="9"/>
      <c r="N4" s="35"/>
      <c r="O4" s="9"/>
      <c r="P4" s="31"/>
    </row>
    <row r="5" spans="1:16" x14ac:dyDescent="0.55000000000000004">
      <c r="A5" s="11" t="s">
        <v>17</v>
      </c>
      <c r="B5" s="27">
        <v>0</v>
      </c>
      <c r="C5" s="27">
        <v>0</v>
      </c>
      <c r="D5" s="27">
        <v>0</v>
      </c>
      <c r="E5" s="27">
        <v>0</v>
      </c>
      <c r="F5" s="20">
        <v>1</v>
      </c>
      <c r="G5" s="20">
        <v>1</v>
      </c>
      <c r="H5" s="20">
        <v>4</v>
      </c>
      <c r="I5" s="20">
        <v>4</v>
      </c>
      <c r="J5" s="8"/>
      <c r="K5" s="8"/>
      <c r="L5" s="20">
        <v>4</v>
      </c>
      <c r="M5" s="20">
        <v>6</v>
      </c>
      <c r="N5" s="20">
        <f t="shared" ref="N5:O10" si="0">Gov*SUM(B5,D5,F5,F5,F5,H5,L5)</f>
        <v>0</v>
      </c>
      <c r="O5" s="20">
        <f t="shared" si="0"/>
        <v>0</v>
      </c>
      <c r="P5" s="31"/>
    </row>
    <row r="6" spans="1:16" x14ac:dyDescent="0.55000000000000004">
      <c r="A6" s="11" t="s">
        <v>18</v>
      </c>
      <c r="B6" s="27">
        <v>0</v>
      </c>
      <c r="C6" s="27">
        <v>0</v>
      </c>
      <c r="D6" s="27">
        <v>0</v>
      </c>
      <c r="E6" s="27">
        <v>0</v>
      </c>
      <c r="F6" s="27">
        <v>1</v>
      </c>
      <c r="G6" s="27">
        <v>2</v>
      </c>
      <c r="H6" s="27">
        <v>8</v>
      </c>
      <c r="I6" s="27">
        <v>12</v>
      </c>
      <c r="J6" s="28"/>
      <c r="K6" s="28"/>
      <c r="L6" s="27">
        <v>2</v>
      </c>
      <c r="M6" s="27">
        <v>2</v>
      </c>
      <c r="N6" s="20">
        <f t="shared" si="0"/>
        <v>0</v>
      </c>
      <c r="O6" s="20">
        <f t="shared" si="0"/>
        <v>0</v>
      </c>
      <c r="P6" s="33"/>
    </row>
    <row r="7" spans="1:16" x14ac:dyDescent="0.55000000000000004">
      <c r="A7" s="11" t="s">
        <v>19</v>
      </c>
      <c r="B7" s="27">
        <v>2</v>
      </c>
      <c r="C7" s="27">
        <v>6</v>
      </c>
      <c r="D7" s="27">
        <v>8</v>
      </c>
      <c r="E7" s="27">
        <v>12</v>
      </c>
      <c r="F7" s="27">
        <v>1</v>
      </c>
      <c r="G7" s="27">
        <v>1</v>
      </c>
      <c r="H7" s="27"/>
      <c r="I7" s="27"/>
      <c r="J7" s="28"/>
      <c r="K7" s="28"/>
      <c r="L7" s="27">
        <f t="shared" ref="L7:L10" si="1">Producer*SUM(B7,D7,F7,H7)</f>
        <v>1.65</v>
      </c>
      <c r="M7" s="27">
        <f t="shared" ref="M7:M10" si="2">Producer*SUM(B7,E7,G7,I7)</f>
        <v>2.25</v>
      </c>
      <c r="N7" s="20">
        <f t="shared" si="0"/>
        <v>0</v>
      </c>
      <c r="O7" s="20">
        <f t="shared" si="0"/>
        <v>0</v>
      </c>
      <c r="P7" s="33"/>
    </row>
    <row r="8" spans="1:16" x14ac:dyDescent="0.55000000000000004">
      <c r="A8" s="11" t="s">
        <v>20</v>
      </c>
      <c r="B8" s="27">
        <v>0</v>
      </c>
      <c r="C8" s="27">
        <v>0</v>
      </c>
      <c r="D8" s="27">
        <v>0</v>
      </c>
      <c r="E8" s="27">
        <v>0</v>
      </c>
      <c r="F8" s="27">
        <v>2</v>
      </c>
      <c r="G8" s="27">
        <v>3</v>
      </c>
      <c r="H8" s="27">
        <v>32</v>
      </c>
      <c r="I8" s="27">
        <v>40</v>
      </c>
      <c r="J8" s="28"/>
      <c r="K8" s="28"/>
      <c r="L8" s="27">
        <f t="shared" si="1"/>
        <v>5.0999999999999996</v>
      </c>
      <c r="M8" s="27">
        <f t="shared" si="2"/>
        <v>6.45</v>
      </c>
      <c r="N8" s="20">
        <f t="shared" si="0"/>
        <v>0</v>
      </c>
      <c r="O8" s="20">
        <f t="shared" si="0"/>
        <v>0</v>
      </c>
      <c r="P8" s="33"/>
    </row>
    <row r="9" spans="1:16" x14ac:dyDescent="0.55000000000000004">
      <c r="A9" s="11" t="s">
        <v>21</v>
      </c>
      <c r="B9" s="27"/>
      <c r="C9" s="27"/>
      <c r="D9" s="27"/>
      <c r="E9" s="27"/>
      <c r="F9" s="27"/>
      <c r="G9" s="27"/>
      <c r="H9" s="27"/>
      <c r="I9" s="27"/>
      <c r="J9" s="28"/>
      <c r="K9" s="28"/>
      <c r="L9" s="27"/>
      <c r="M9" s="27"/>
      <c r="N9" s="20"/>
      <c r="O9" s="20"/>
      <c r="P9" s="33"/>
    </row>
    <row r="10" spans="1:16" x14ac:dyDescent="0.55000000000000004">
      <c r="A10" s="29" t="s">
        <v>22</v>
      </c>
      <c r="B10" s="27"/>
      <c r="C10" s="27"/>
      <c r="D10" s="27"/>
      <c r="E10" s="27"/>
      <c r="F10" s="27"/>
      <c r="G10" s="27"/>
      <c r="H10" s="27"/>
      <c r="I10" s="27"/>
      <c r="J10" s="28"/>
      <c r="K10" s="28"/>
      <c r="L10" s="27">
        <f t="shared" si="1"/>
        <v>0</v>
      </c>
      <c r="M10" s="27">
        <f t="shared" si="2"/>
        <v>0</v>
      </c>
      <c r="N10" s="20">
        <f t="shared" si="0"/>
        <v>0</v>
      </c>
      <c r="O10" s="20">
        <f t="shared" si="0"/>
        <v>0</v>
      </c>
      <c r="P10" s="33"/>
    </row>
    <row r="11" spans="1:16" x14ac:dyDescent="0.55000000000000004">
      <c r="A11" s="16"/>
      <c r="B11" s="38"/>
      <c r="C11" s="38"/>
      <c r="D11" s="27"/>
      <c r="E11" s="27"/>
      <c r="F11" s="27"/>
      <c r="G11" s="27"/>
      <c r="H11" s="27"/>
      <c r="I11" s="27"/>
      <c r="J11" s="28"/>
      <c r="K11" s="28"/>
      <c r="L11" s="27"/>
      <c r="M11" s="27"/>
      <c r="N11" s="20">
        <f>Gov*SUM(B57,D57,F57,H57)</f>
        <v>0</v>
      </c>
      <c r="O11" s="20"/>
      <c r="P11" s="30"/>
    </row>
    <row r="12" spans="1:16" x14ac:dyDescent="0.55000000000000004">
      <c r="A12" s="41" t="s">
        <v>23</v>
      </c>
      <c r="B12" s="38"/>
      <c r="C12" s="38"/>
      <c r="D12" s="27"/>
      <c r="E12" s="27"/>
      <c r="F12" s="27"/>
      <c r="G12" s="27"/>
      <c r="H12" s="27"/>
      <c r="I12" s="27"/>
      <c r="J12" s="28"/>
      <c r="K12" s="28"/>
      <c r="L12" s="27"/>
      <c r="M12" s="27"/>
      <c r="N12" s="20">
        <f>Gov*SUM(B57,D57,F57,H57)</f>
        <v>0</v>
      </c>
      <c r="O12" s="20"/>
      <c r="P12" s="30"/>
    </row>
    <row r="13" spans="1:16" x14ac:dyDescent="0.55000000000000004">
      <c r="A13" s="39" t="s">
        <v>24</v>
      </c>
      <c r="B13" s="38"/>
      <c r="C13" s="38"/>
      <c r="D13" s="27"/>
      <c r="E13" s="27"/>
      <c r="F13" s="27">
        <v>8</v>
      </c>
      <c r="G13" s="27">
        <v>12</v>
      </c>
      <c r="H13" s="27"/>
      <c r="I13" s="27"/>
      <c r="J13" s="28"/>
      <c r="K13" s="28"/>
      <c r="L13" s="27"/>
      <c r="M13" s="27"/>
      <c r="N13" s="20">
        <f>Gov*SUM(B57,D57,F57,H57)</f>
        <v>0</v>
      </c>
      <c r="O13" s="20"/>
      <c r="P13" s="30"/>
    </row>
    <row r="14" spans="1:16" x14ac:dyDescent="0.55000000000000004">
      <c r="A14" s="11" t="s">
        <v>25</v>
      </c>
      <c r="B14" s="38"/>
      <c r="C14" s="38"/>
      <c r="D14" s="27"/>
      <c r="E14" s="27"/>
      <c r="F14" s="27">
        <v>3</v>
      </c>
      <c r="G14" s="27">
        <v>6</v>
      </c>
      <c r="H14" s="27"/>
      <c r="I14" s="27"/>
      <c r="J14" s="28"/>
      <c r="K14" s="28"/>
      <c r="L14" s="27"/>
      <c r="M14" s="27"/>
      <c r="N14" s="20">
        <f>Gov*SUM(B57,D57,F57,H57)</f>
        <v>0</v>
      </c>
      <c r="O14" s="20"/>
      <c r="P14" s="30"/>
    </row>
    <row r="15" spans="1:16" x14ac:dyDescent="0.55000000000000004">
      <c r="A15" s="11" t="s">
        <v>26</v>
      </c>
      <c r="B15" s="38"/>
      <c r="C15" s="38"/>
      <c r="D15" s="27">
        <v>6</v>
      </c>
      <c r="E15" s="27">
        <v>8</v>
      </c>
      <c r="F15" s="27">
        <f>SUM(B15,D15)/8</f>
        <v>0.75</v>
      </c>
      <c r="G15" s="27">
        <f>SUM(C15,E15)/8</f>
        <v>1</v>
      </c>
      <c r="H15" s="9"/>
      <c r="I15" s="27"/>
      <c r="J15" s="28"/>
      <c r="K15" s="28"/>
      <c r="L15" s="27"/>
      <c r="M15" s="27"/>
      <c r="N15" s="20">
        <f>Gov*SUM(B57,D57,F57,H57)</f>
        <v>0</v>
      </c>
      <c r="O15" s="20"/>
      <c r="P15" s="30"/>
    </row>
    <row r="16" spans="1:16" x14ac:dyDescent="0.55000000000000004">
      <c r="A16" s="11" t="s">
        <v>27</v>
      </c>
      <c r="B16" s="38"/>
      <c r="C16" s="38"/>
      <c r="D16" s="27"/>
      <c r="E16" s="27"/>
      <c r="F16" s="27">
        <v>2</v>
      </c>
      <c r="G16" s="27">
        <v>4</v>
      </c>
      <c r="H16" s="9"/>
      <c r="I16" s="27"/>
      <c r="J16" s="28"/>
      <c r="K16" s="28"/>
      <c r="L16" s="27"/>
      <c r="M16" s="27"/>
      <c r="N16" s="20">
        <f>Gov*SUM(B57,D57,F57,H57)</f>
        <v>0</v>
      </c>
      <c r="O16" s="20"/>
      <c r="P16" s="30"/>
    </row>
    <row r="17" spans="1:16" x14ac:dyDescent="0.55000000000000004">
      <c r="A17" s="11" t="s">
        <v>28</v>
      </c>
      <c r="B17" s="27">
        <v>200</v>
      </c>
      <c r="C17" s="27">
        <v>450</v>
      </c>
      <c r="D17" s="6"/>
      <c r="E17" s="6"/>
      <c r="F17" s="27"/>
      <c r="G17" s="27"/>
      <c r="H17" s="27"/>
      <c r="I17" s="27"/>
      <c r="J17" s="28"/>
      <c r="K17" s="28"/>
      <c r="L17" s="27"/>
      <c r="M17" s="27"/>
      <c r="N17" s="20">
        <f>Gov*SUM(B57,D57,F57,H57)</f>
        <v>0</v>
      </c>
      <c r="O17" s="20"/>
      <c r="P17" s="30"/>
    </row>
    <row r="18" spans="1:16" x14ac:dyDescent="0.55000000000000004">
      <c r="A18" s="11" t="s">
        <v>29</v>
      </c>
      <c r="B18" s="38"/>
      <c r="C18" s="38"/>
      <c r="D18" s="27">
        <v>6</v>
      </c>
      <c r="E18" s="27">
        <v>12</v>
      </c>
      <c r="F18" s="27"/>
      <c r="G18" s="27"/>
      <c r="H18" s="27"/>
      <c r="I18" s="27"/>
      <c r="J18" s="28"/>
      <c r="K18" s="28"/>
      <c r="L18" s="27"/>
      <c r="M18" s="27"/>
      <c r="N18" s="20">
        <f>Gov*SUM(B57,D57,F57,H57)</f>
        <v>0</v>
      </c>
      <c r="O18" s="20"/>
      <c r="P18" s="30"/>
    </row>
    <row r="19" spans="1:16" x14ac:dyDescent="0.55000000000000004">
      <c r="A19" s="39" t="s">
        <v>30</v>
      </c>
      <c r="B19" s="38"/>
      <c r="C19" s="38"/>
      <c r="D19" s="27">
        <v>8</v>
      </c>
      <c r="E19" s="27">
        <v>12</v>
      </c>
      <c r="F19" s="27">
        <v>4</v>
      </c>
      <c r="G19" s="27">
        <v>16</v>
      </c>
      <c r="H19" s="27"/>
      <c r="I19" s="27"/>
      <c r="J19" s="28"/>
      <c r="K19" s="28"/>
      <c r="L19" s="27"/>
      <c r="M19" s="27"/>
      <c r="N19" s="20">
        <f>Gov*SUM(B57,D57,F57,H57)</f>
        <v>0</v>
      </c>
      <c r="O19" s="20"/>
      <c r="P19" s="30"/>
    </row>
    <row r="20" spans="1:16" x14ac:dyDescent="0.55000000000000004">
      <c r="A20" s="42" t="s">
        <v>31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4">
        <f t="shared" ref="N20:O20" si="3">Gov*SUM(B20,D20,F20,F20,F20,H20,L20)</f>
        <v>0</v>
      </c>
      <c r="O20" s="44">
        <f t="shared" si="3"/>
        <v>0</v>
      </c>
      <c r="P20" s="45"/>
    </row>
    <row r="21" spans="1:16" x14ac:dyDescent="0.55000000000000004">
      <c r="A21" s="39" t="s">
        <v>32</v>
      </c>
      <c r="B21" s="38"/>
      <c r="C21" s="38"/>
      <c r="D21" s="27">
        <v>2</v>
      </c>
      <c r="E21" s="27">
        <v>4</v>
      </c>
      <c r="F21" s="27">
        <f t="shared" ref="F21:G39" si="4">SUM(B21,D21)/8</f>
        <v>0.25</v>
      </c>
      <c r="G21" s="27">
        <f>SUM(C21,E21)/8</f>
        <v>0.5</v>
      </c>
      <c r="H21" s="27">
        <f t="shared" ref="H21:I39" si="5">SUM(B21,D21)*QA</f>
        <v>0.5</v>
      </c>
      <c r="I21" s="27">
        <f t="shared" si="5"/>
        <v>1</v>
      </c>
      <c r="J21" s="28"/>
      <c r="K21" s="28"/>
      <c r="L21" s="27">
        <f t="shared" ref="L21:L68" si="6">Producer*SUM(B21,D21,F21,H21)</f>
        <v>0.41249999999999998</v>
      </c>
      <c r="M21" s="27">
        <f t="shared" ref="M21:M64" si="7">Producer*SUM(B21,E21,G21,I21)</f>
        <v>0.82499999999999996</v>
      </c>
      <c r="N21" s="20">
        <f>Gov*SUM(B57,D57,F57,H57)</f>
        <v>0</v>
      </c>
      <c r="O21" s="20"/>
      <c r="P21" s="30"/>
    </row>
    <row r="22" spans="1:16" x14ac:dyDescent="0.55000000000000004">
      <c r="A22" s="39" t="s">
        <v>33</v>
      </c>
      <c r="B22" s="38"/>
      <c r="C22" s="38"/>
      <c r="D22" s="27">
        <v>12</v>
      </c>
      <c r="E22" s="27">
        <v>20</v>
      </c>
      <c r="F22" s="27">
        <f t="shared" si="4"/>
        <v>1.5</v>
      </c>
      <c r="G22" s="27">
        <f t="shared" si="4"/>
        <v>2.5</v>
      </c>
      <c r="H22" s="27">
        <f t="shared" si="5"/>
        <v>3</v>
      </c>
      <c r="I22" s="27">
        <f t="shared" si="5"/>
        <v>5</v>
      </c>
      <c r="J22" s="28"/>
      <c r="K22" s="28"/>
      <c r="L22" s="27">
        <f t="shared" si="6"/>
        <v>2.4750000000000001</v>
      </c>
      <c r="M22" s="27">
        <f t="shared" si="7"/>
        <v>4.125</v>
      </c>
      <c r="N22" s="20">
        <v>0.48125000000000001</v>
      </c>
      <c r="O22" s="20"/>
      <c r="P22" s="30"/>
    </row>
    <row r="23" spans="1:16" x14ac:dyDescent="0.55000000000000004">
      <c r="A23" s="39" t="s">
        <v>34</v>
      </c>
      <c r="B23" s="38"/>
      <c r="C23" s="38"/>
      <c r="D23" s="27">
        <v>16</v>
      </c>
      <c r="E23" s="27">
        <v>20</v>
      </c>
      <c r="F23" s="27">
        <f t="shared" si="4"/>
        <v>2</v>
      </c>
      <c r="G23" s="27">
        <f t="shared" si="4"/>
        <v>2.5</v>
      </c>
      <c r="H23" s="27">
        <f t="shared" si="5"/>
        <v>4</v>
      </c>
      <c r="I23" s="27">
        <f t="shared" si="5"/>
        <v>5</v>
      </c>
      <c r="J23" s="28"/>
      <c r="K23" s="28"/>
      <c r="L23" s="27">
        <f t="shared" si="6"/>
        <v>3.3</v>
      </c>
      <c r="M23" s="27">
        <f t="shared" si="7"/>
        <v>4.125</v>
      </c>
      <c r="N23" s="20">
        <v>0.48125000000000001</v>
      </c>
      <c r="O23" s="20"/>
      <c r="P23" s="30"/>
    </row>
    <row r="24" spans="1:16" x14ac:dyDescent="0.55000000000000004">
      <c r="A24" s="40"/>
      <c r="B24" s="38"/>
      <c r="C24" s="38"/>
      <c r="D24" s="27"/>
      <c r="E24" s="27"/>
      <c r="F24" s="27">
        <f t="shared" si="4"/>
        <v>0</v>
      </c>
      <c r="G24" s="27">
        <f t="shared" si="4"/>
        <v>0</v>
      </c>
      <c r="H24" s="27">
        <f t="shared" si="5"/>
        <v>0</v>
      </c>
      <c r="I24" s="27">
        <f t="shared" si="5"/>
        <v>0</v>
      </c>
      <c r="J24" s="27"/>
      <c r="K24" s="27"/>
      <c r="L24" s="27">
        <f t="shared" si="6"/>
        <v>0</v>
      </c>
      <c r="M24" s="27">
        <f t="shared" si="7"/>
        <v>0</v>
      </c>
      <c r="N24" s="20">
        <f>Gov*SUM(B58,D58,F58,H58)</f>
        <v>0</v>
      </c>
      <c r="O24" s="20"/>
      <c r="P24" s="30"/>
    </row>
    <row r="25" spans="1:16" x14ac:dyDescent="0.55000000000000004">
      <c r="A25" s="42" t="s">
        <v>35</v>
      </c>
      <c r="B25" s="38"/>
      <c r="C25" s="3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0">
        <f>Gov*SUM(B59,D59,F59,H59)</f>
        <v>0</v>
      </c>
      <c r="O25" s="20"/>
      <c r="P25" s="30"/>
    </row>
    <row r="26" spans="1:16" x14ac:dyDescent="0.55000000000000004">
      <c r="A26" s="16"/>
      <c r="B26" s="25"/>
      <c r="C26" s="25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0">
        <f>Gov*SUM(B71,D71,F71,H71)</f>
        <v>0</v>
      </c>
      <c r="O26" s="20"/>
      <c r="P26" s="30"/>
    </row>
    <row r="27" spans="1:16" x14ac:dyDescent="0.55000000000000004">
      <c r="A27" s="39" t="s">
        <v>36</v>
      </c>
      <c r="B27" s="38"/>
      <c r="C27" s="38"/>
      <c r="D27" s="27"/>
      <c r="E27" s="27"/>
      <c r="F27" s="27">
        <v>6</v>
      </c>
      <c r="G27" s="27">
        <v>10</v>
      </c>
      <c r="H27" s="27">
        <f t="shared" si="5"/>
        <v>0</v>
      </c>
      <c r="I27" s="27">
        <f t="shared" si="5"/>
        <v>0</v>
      </c>
      <c r="J27" s="28"/>
      <c r="K27" s="28"/>
      <c r="L27" s="27">
        <f t="shared" si="6"/>
        <v>0.89999999999999991</v>
      </c>
      <c r="M27" s="27">
        <f t="shared" si="7"/>
        <v>1.5</v>
      </c>
      <c r="N27" s="20">
        <f>Gov*SUM(B64,D64,F64,H64)</f>
        <v>0</v>
      </c>
      <c r="O27" s="20"/>
      <c r="P27" s="30"/>
    </row>
    <row r="28" spans="1:16" x14ac:dyDescent="0.55000000000000004">
      <c r="A28" s="39" t="s">
        <v>37</v>
      </c>
      <c r="B28" s="38"/>
      <c r="C28" s="38"/>
      <c r="D28" s="27">
        <v>6</v>
      </c>
      <c r="E28" s="27">
        <v>10</v>
      </c>
      <c r="F28" s="27">
        <f t="shared" si="4"/>
        <v>0.75</v>
      </c>
      <c r="G28" s="27">
        <f t="shared" si="4"/>
        <v>1.25</v>
      </c>
      <c r="H28" s="27">
        <f t="shared" si="5"/>
        <v>1.5</v>
      </c>
      <c r="I28" s="27">
        <f t="shared" si="5"/>
        <v>2.5</v>
      </c>
      <c r="J28" s="27"/>
      <c r="K28" s="27"/>
      <c r="L28" s="27">
        <f t="shared" si="6"/>
        <v>1.2375</v>
      </c>
      <c r="M28" s="27">
        <f t="shared" si="7"/>
        <v>2.0625</v>
      </c>
      <c r="N28" s="20">
        <f>Gov*SUM(B59,D59,F59,H59)</f>
        <v>0</v>
      </c>
      <c r="O28" s="20"/>
      <c r="P28" s="30"/>
    </row>
    <row r="29" spans="1:16" x14ac:dyDescent="0.55000000000000004">
      <c r="A29" s="39" t="s">
        <v>38</v>
      </c>
      <c r="B29" s="38"/>
      <c r="C29" s="38"/>
      <c r="D29" s="27">
        <v>10</v>
      </c>
      <c r="E29" s="27">
        <v>16</v>
      </c>
      <c r="F29" s="27">
        <f t="shared" si="4"/>
        <v>1.25</v>
      </c>
      <c r="G29" s="27">
        <f t="shared" si="4"/>
        <v>2</v>
      </c>
      <c r="H29" s="27">
        <f t="shared" si="5"/>
        <v>2.5</v>
      </c>
      <c r="I29" s="27">
        <f t="shared" si="5"/>
        <v>4</v>
      </c>
      <c r="J29" s="27"/>
      <c r="K29" s="27"/>
      <c r="L29" s="27">
        <f t="shared" si="6"/>
        <v>2.0625</v>
      </c>
      <c r="M29" s="27">
        <f t="shared" si="7"/>
        <v>3.3</v>
      </c>
      <c r="N29" s="20">
        <f>Gov*SUM(B59,D59,F59,H59)</f>
        <v>0</v>
      </c>
      <c r="O29" s="20"/>
      <c r="P29" s="30"/>
    </row>
    <row r="30" spans="1:16" x14ac:dyDescent="0.55000000000000004">
      <c r="A30" s="39" t="s">
        <v>39</v>
      </c>
      <c r="B30" s="38"/>
      <c r="C30" s="38"/>
      <c r="D30" s="27"/>
      <c r="E30" s="27"/>
      <c r="F30" s="27">
        <f t="shared" si="4"/>
        <v>0</v>
      </c>
      <c r="G30" s="27">
        <f t="shared" si="4"/>
        <v>0</v>
      </c>
      <c r="H30" s="27">
        <f t="shared" si="5"/>
        <v>0</v>
      </c>
      <c r="I30" s="27">
        <f t="shared" si="5"/>
        <v>0</v>
      </c>
      <c r="J30" s="27"/>
      <c r="K30" s="27"/>
      <c r="L30" s="27">
        <f t="shared" si="6"/>
        <v>0</v>
      </c>
      <c r="M30" s="27">
        <f t="shared" si="7"/>
        <v>0</v>
      </c>
      <c r="N30" s="20">
        <f>Gov*SUM(B59,D59,F59,H59)</f>
        <v>0</v>
      </c>
      <c r="O30" s="20"/>
      <c r="P30" s="30"/>
    </row>
    <row r="31" spans="1:16" x14ac:dyDescent="0.55000000000000004">
      <c r="A31" s="39" t="s">
        <v>40</v>
      </c>
      <c r="B31" s="27">
        <v>12</v>
      </c>
      <c r="C31" s="27">
        <v>20</v>
      </c>
      <c r="D31" s="6"/>
      <c r="E31" s="6"/>
      <c r="F31" s="27">
        <f t="shared" si="4"/>
        <v>1.5</v>
      </c>
      <c r="G31" s="27">
        <f t="shared" si="4"/>
        <v>2.5</v>
      </c>
      <c r="H31" s="27">
        <f t="shared" si="5"/>
        <v>3</v>
      </c>
      <c r="I31" s="27">
        <f t="shared" si="5"/>
        <v>5</v>
      </c>
      <c r="J31" s="27"/>
      <c r="K31" s="27"/>
      <c r="L31" s="27">
        <f t="shared" si="6"/>
        <v>2.4750000000000001</v>
      </c>
      <c r="M31" s="27">
        <f t="shared" si="7"/>
        <v>2.9249999999999998</v>
      </c>
      <c r="N31" s="20">
        <f>Gov*SUM(B56,D56,F56,H56)</f>
        <v>0</v>
      </c>
      <c r="O31" s="20"/>
      <c r="P31" s="30"/>
    </row>
    <row r="32" spans="1:16" x14ac:dyDescent="0.55000000000000004">
      <c r="A32" s="39" t="s">
        <v>41</v>
      </c>
      <c r="B32" s="27">
        <v>12</v>
      </c>
      <c r="C32" s="27">
        <v>20</v>
      </c>
      <c r="D32" s="6"/>
      <c r="E32" s="6"/>
      <c r="F32" s="27">
        <f t="shared" ref="F32:F33" si="8">SUM(B32,D32)/8</f>
        <v>1.5</v>
      </c>
      <c r="G32" s="27">
        <f t="shared" ref="G32:G33" si="9">SUM(C32,E32)/8</f>
        <v>2.5</v>
      </c>
      <c r="H32" s="27">
        <f t="shared" ref="H32:H33" si="10">SUM(B32,D32)*QA</f>
        <v>3</v>
      </c>
      <c r="I32" s="27">
        <f t="shared" ref="I32:I33" si="11">SUM(C32,E32)*QA</f>
        <v>5</v>
      </c>
      <c r="J32" s="27"/>
      <c r="K32" s="27"/>
      <c r="L32" s="27">
        <f t="shared" ref="L32:L33" si="12">Producer*SUM(B32,D32,F32,H32)</f>
        <v>2.4750000000000001</v>
      </c>
      <c r="M32" s="27">
        <f t="shared" ref="M32:M33" si="13">Producer*SUM(B32,E32,G32,I32)</f>
        <v>2.9249999999999998</v>
      </c>
      <c r="N32" s="20">
        <f>Gov*SUM(B57,D57,F57,H57)</f>
        <v>0</v>
      </c>
      <c r="O32" s="20"/>
      <c r="P32" s="30"/>
    </row>
    <row r="33" spans="1:16" x14ac:dyDescent="0.55000000000000004">
      <c r="A33" s="41" t="s">
        <v>42</v>
      </c>
      <c r="B33" s="38"/>
      <c r="C33" s="38"/>
      <c r="D33" s="27"/>
      <c r="E33" s="27"/>
      <c r="F33" s="27">
        <f t="shared" si="8"/>
        <v>0</v>
      </c>
      <c r="G33" s="27">
        <f t="shared" si="9"/>
        <v>0</v>
      </c>
      <c r="H33" s="27">
        <f t="shared" si="10"/>
        <v>0</v>
      </c>
      <c r="I33" s="27">
        <f t="shared" si="11"/>
        <v>0</v>
      </c>
      <c r="J33" s="27"/>
      <c r="K33" s="27"/>
      <c r="L33" s="27">
        <f t="shared" si="12"/>
        <v>0</v>
      </c>
      <c r="M33" s="27">
        <f t="shared" si="13"/>
        <v>0</v>
      </c>
      <c r="N33" s="20">
        <f>Gov*SUM(B58,D58,F58,H58)</f>
        <v>0</v>
      </c>
      <c r="O33" s="20"/>
      <c r="P33" s="30"/>
    </row>
    <row r="34" spans="1:16" x14ac:dyDescent="0.55000000000000004">
      <c r="A34" s="39" t="s">
        <v>43</v>
      </c>
      <c r="B34" s="38"/>
      <c r="C34" s="38"/>
      <c r="D34" s="27">
        <v>2</v>
      </c>
      <c r="E34" s="27">
        <v>4</v>
      </c>
      <c r="F34" s="27">
        <f t="shared" si="4"/>
        <v>0.25</v>
      </c>
      <c r="G34" s="27">
        <f t="shared" si="4"/>
        <v>0.5</v>
      </c>
      <c r="H34" s="27">
        <f t="shared" si="5"/>
        <v>0.5</v>
      </c>
      <c r="I34" s="27">
        <f t="shared" si="5"/>
        <v>1</v>
      </c>
      <c r="J34" s="27"/>
      <c r="K34" s="27"/>
      <c r="L34" s="27">
        <f t="shared" si="6"/>
        <v>0.41249999999999998</v>
      </c>
      <c r="M34" s="27">
        <f t="shared" si="7"/>
        <v>0.82499999999999996</v>
      </c>
      <c r="N34" s="20">
        <f>Gov*SUM(B59,D59,F59,H59)</f>
        <v>0</v>
      </c>
      <c r="O34" s="20"/>
      <c r="P34" s="30"/>
    </row>
    <row r="35" spans="1:16" x14ac:dyDescent="0.55000000000000004">
      <c r="A35" s="39" t="s">
        <v>44</v>
      </c>
      <c r="B35" s="38"/>
      <c r="C35" s="3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0"/>
      <c r="O35" s="20"/>
      <c r="P35" s="30"/>
    </row>
    <row r="36" spans="1:16" x14ac:dyDescent="0.55000000000000004">
      <c r="A36" s="11" t="s">
        <v>45</v>
      </c>
      <c r="B36" s="38"/>
      <c r="C36" s="38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0"/>
      <c r="O36" s="20"/>
      <c r="P36" s="30"/>
    </row>
    <row r="37" spans="1:16" x14ac:dyDescent="0.55000000000000004">
      <c r="A37" s="11" t="s">
        <v>46</v>
      </c>
      <c r="B37" s="27"/>
      <c r="C37" s="27"/>
      <c r="D37" s="27"/>
      <c r="E37" s="27"/>
      <c r="F37" s="27">
        <f t="shared" ref="F37:F38" si="14">SUM(B37,D37)/8</f>
        <v>0</v>
      </c>
      <c r="G37" s="27">
        <f t="shared" ref="G37:G38" si="15">SUM(C37,E37)/8</f>
        <v>0</v>
      </c>
      <c r="H37" s="27">
        <f t="shared" ref="H37:H38" si="16">SUM(B37,D37)*QA</f>
        <v>0</v>
      </c>
      <c r="I37" s="27">
        <f t="shared" ref="I37:I38" si="17">SUM(C37,E37)*QA</f>
        <v>0</v>
      </c>
      <c r="J37" s="27"/>
      <c r="K37" s="27"/>
      <c r="L37" s="27">
        <f t="shared" ref="L37:L38" si="18">Producer*SUM(B37,D37,F37,H37)</f>
        <v>0</v>
      </c>
      <c r="M37" s="27">
        <f t="shared" ref="M37:M38" si="19">Producer*SUM(B37,E37,G37,I37)</f>
        <v>0</v>
      </c>
      <c r="N37" s="20">
        <f>Gov*SUM(B80,D80,F80,H80)</f>
        <v>0</v>
      </c>
      <c r="O37" s="20"/>
      <c r="P37" s="30"/>
    </row>
    <row r="38" spans="1:16" x14ac:dyDescent="0.55000000000000004">
      <c r="A38" s="11" t="s">
        <v>47</v>
      </c>
      <c r="B38" s="27">
        <v>6</v>
      </c>
      <c r="C38" s="27">
        <v>10</v>
      </c>
      <c r="D38" s="6"/>
      <c r="E38" s="6"/>
      <c r="F38" s="27">
        <f t="shared" si="14"/>
        <v>0.75</v>
      </c>
      <c r="G38" s="27">
        <f t="shared" si="15"/>
        <v>1.25</v>
      </c>
      <c r="H38" s="27">
        <f t="shared" si="16"/>
        <v>1.5</v>
      </c>
      <c r="I38" s="27">
        <f t="shared" si="17"/>
        <v>2.5</v>
      </c>
      <c r="J38" s="27"/>
      <c r="K38" s="27"/>
      <c r="L38" s="27">
        <f t="shared" si="18"/>
        <v>1.2375</v>
      </c>
      <c r="M38" s="27">
        <f t="shared" si="19"/>
        <v>1.4624999999999999</v>
      </c>
      <c r="N38" s="20">
        <f>Gov*SUM(B81,D81,F81,H81)</f>
        <v>0</v>
      </c>
      <c r="O38" s="20"/>
      <c r="P38" s="30"/>
    </row>
    <row r="39" spans="1:16" x14ac:dyDescent="0.55000000000000004">
      <c r="A39" s="11" t="s">
        <v>48</v>
      </c>
      <c r="B39" s="38"/>
      <c r="C39" s="38"/>
      <c r="D39" s="27"/>
      <c r="E39" s="27"/>
      <c r="F39" s="27">
        <f t="shared" si="4"/>
        <v>0</v>
      </c>
      <c r="G39" s="27">
        <f t="shared" si="4"/>
        <v>0</v>
      </c>
      <c r="H39" s="27">
        <f t="shared" si="5"/>
        <v>0</v>
      </c>
      <c r="I39" s="27">
        <f t="shared" si="5"/>
        <v>0</v>
      </c>
      <c r="J39" s="27"/>
      <c r="K39" s="27"/>
      <c r="L39" s="27">
        <f t="shared" si="6"/>
        <v>0</v>
      </c>
      <c r="M39" s="27">
        <f t="shared" si="7"/>
        <v>0</v>
      </c>
      <c r="N39" s="20">
        <f>Gov*SUM(B82,D82,F82,H82)</f>
        <v>0</v>
      </c>
      <c r="O39" s="20"/>
      <c r="P39" s="30"/>
    </row>
    <row r="40" spans="1:16" x14ac:dyDescent="0.55000000000000004">
      <c r="A40" s="11" t="s">
        <v>49</v>
      </c>
      <c r="B40" s="38"/>
      <c r="C40" s="38"/>
      <c r="D40" s="27">
        <v>10</v>
      </c>
      <c r="E40" s="27">
        <v>16</v>
      </c>
      <c r="F40" s="27">
        <f t="shared" ref="F40:G47" si="20">SUM(B40,D40)/8</f>
        <v>1.25</v>
      </c>
      <c r="G40" s="27">
        <f t="shared" si="20"/>
        <v>2</v>
      </c>
      <c r="H40" s="27">
        <f t="shared" ref="H40:I47" si="21">SUM(B40,D40)*QA</f>
        <v>2.5</v>
      </c>
      <c r="I40" s="27">
        <f t="shared" si="21"/>
        <v>4</v>
      </c>
      <c r="J40" s="27"/>
      <c r="K40" s="27"/>
      <c r="L40" s="27">
        <f t="shared" si="6"/>
        <v>2.0625</v>
      </c>
      <c r="M40" s="27">
        <f t="shared" si="7"/>
        <v>3.3</v>
      </c>
      <c r="N40" s="20">
        <f>Gov*SUM(B82,D82,F82,H82)</f>
        <v>0</v>
      </c>
      <c r="O40" s="20"/>
      <c r="P40" s="30"/>
    </row>
    <row r="41" spans="1:16" x14ac:dyDescent="0.55000000000000004">
      <c r="A41" s="11" t="s">
        <v>50</v>
      </c>
      <c r="B41" s="38"/>
      <c r="C41" s="38"/>
      <c r="D41" s="27">
        <v>1</v>
      </c>
      <c r="E41" s="27">
        <v>2</v>
      </c>
      <c r="F41" s="27">
        <f t="shared" si="20"/>
        <v>0.125</v>
      </c>
      <c r="G41" s="27">
        <f t="shared" si="20"/>
        <v>0.25</v>
      </c>
      <c r="H41" s="27">
        <f t="shared" si="21"/>
        <v>0.25</v>
      </c>
      <c r="I41" s="27">
        <f t="shared" si="21"/>
        <v>0.5</v>
      </c>
      <c r="J41" s="27"/>
      <c r="K41" s="27"/>
      <c r="L41" s="27">
        <f t="shared" si="6"/>
        <v>0.20624999999999999</v>
      </c>
      <c r="M41" s="27">
        <f t="shared" si="7"/>
        <v>0.41249999999999998</v>
      </c>
      <c r="N41" s="20">
        <f>Gov*SUM(B82,D82,F82,H82)</f>
        <v>0</v>
      </c>
      <c r="O41" s="20"/>
      <c r="P41" s="30"/>
    </row>
    <row r="42" spans="1:16" x14ac:dyDescent="0.55000000000000004">
      <c r="A42" s="41" t="s">
        <v>51</v>
      </c>
      <c r="B42" s="38"/>
      <c r="C42" s="38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0">
        <f>Gov*SUM(B82,D82,F82,H82)</f>
        <v>0</v>
      </c>
      <c r="O42" s="20"/>
      <c r="P42" s="30"/>
    </row>
    <row r="43" spans="1:16" x14ac:dyDescent="0.55000000000000004">
      <c r="A43" s="11" t="s">
        <v>100</v>
      </c>
      <c r="B43" s="38">
        <v>40</v>
      </c>
      <c r="C43" s="38">
        <v>56</v>
      </c>
      <c r="D43" s="27"/>
      <c r="E43" s="27"/>
      <c r="F43" s="27">
        <f>SUM(B43,D43)/8</f>
        <v>5</v>
      </c>
      <c r="G43" s="27">
        <f>SUM(C43,E43)/8</f>
        <v>7</v>
      </c>
      <c r="H43" s="27">
        <f>SUM(B43,D43)*QA</f>
        <v>10</v>
      </c>
      <c r="I43" s="27">
        <f>SUM(C43,E43)*QA</f>
        <v>14</v>
      </c>
      <c r="J43" s="27"/>
      <c r="K43" s="27"/>
      <c r="L43" s="27">
        <f>Producer*SUM(B43,D43,F43,H43)</f>
        <v>8.25</v>
      </c>
      <c r="M43" s="27">
        <f>Producer*SUM(B43,E43,G43,I43)</f>
        <v>9.15</v>
      </c>
      <c r="N43" s="20">
        <f>Gov*SUM(B82,D82,F82,H82)</f>
        <v>0</v>
      </c>
      <c r="O43" s="20"/>
      <c r="P43" s="30"/>
    </row>
    <row r="44" spans="1:16" x14ac:dyDescent="0.55000000000000004">
      <c r="A44" s="11" t="s">
        <v>53</v>
      </c>
      <c r="B44" s="38">
        <v>12</v>
      </c>
      <c r="C44" s="38">
        <v>24</v>
      </c>
      <c r="D44" s="27">
        <v>2</v>
      </c>
      <c r="E44" s="27">
        <v>4</v>
      </c>
      <c r="F44" s="27">
        <f>SUM(B44,D44)/8</f>
        <v>1.75</v>
      </c>
      <c r="G44" s="27">
        <f>SUM(C44,E44)/8</f>
        <v>3.5</v>
      </c>
      <c r="H44" s="27">
        <f>SUM(B44,D44)*QA</f>
        <v>3.5</v>
      </c>
      <c r="I44" s="27">
        <f>SUM(C44,E44)*QA</f>
        <v>7</v>
      </c>
      <c r="J44" s="27"/>
      <c r="K44" s="27"/>
      <c r="L44" s="27">
        <f>Producer*SUM(B44,D44,F44,H44)</f>
        <v>2.8874999999999997</v>
      </c>
      <c r="M44" s="27">
        <f>Producer*SUM(B44,E44,G44,I44)</f>
        <v>3.9749999999999996</v>
      </c>
      <c r="N44" s="20">
        <f>Gov*SUM(B82,D82,F82,H82)</f>
        <v>0</v>
      </c>
      <c r="O44" s="20"/>
      <c r="P44" s="30"/>
    </row>
    <row r="45" spans="1:16" x14ac:dyDescent="0.55000000000000004">
      <c r="A45" s="11"/>
      <c r="B45" s="38"/>
      <c r="C45" s="38"/>
      <c r="D45" s="27"/>
      <c r="E45" s="27"/>
      <c r="F45" s="27">
        <f t="shared" si="20"/>
        <v>0</v>
      </c>
      <c r="G45" s="27">
        <f t="shared" si="20"/>
        <v>0</v>
      </c>
      <c r="H45" s="27">
        <f t="shared" si="21"/>
        <v>0</v>
      </c>
      <c r="I45" s="27">
        <f t="shared" si="21"/>
        <v>0</v>
      </c>
      <c r="J45" s="27"/>
      <c r="K45" s="27"/>
      <c r="L45" s="27">
        <f t="shared" si="6"/>
        <v>0</v>
      </c>
      <c r="M45" s="27">
        <f t="shared" si="7"/>
        <v>0</v>
      </c>
      <c r="N45" s="20">
        <f>Gov*SUM(B82,D82,F82,H82)</f>
        <v>0</v>
      </c>
      <c r="O45" s="20"/>
      <c r="P45" s="30"/>
    </row>
    <row r="46" spans="1:16" x14ac:dyDescent="0.55000000000000004">
      <c r="A46" s="41" t="s">
        <v>54</v>
      </c>
      <c r="B46" s="27"/>
      <c r="C46" s="27"/>
      <c r="D46" s="27"/>
      <c r="E46" s="27"/>
      <c r="F46" s="27">
        <f t="shared" si="20"/>
        <v>0</v>
      </c>
      <c r="G46" s="27">
        <f t="shared" ref="G46:G47" si="22">SUM(C46,E46)/8</f>
        <v>0</v>
      </c>
      <c r="H46" s="27">
        <f t="shared" si="21"/>
        <v>0</v>
      </c>
      <c r="I46" s="27">
        <f t="shared" ref="I46:I47" si="23">SUM(C46,E46)*QA</f>
        <v>0</v>
      </c>
      <c r="J46" s="27"/>
      <c r="K46" s="27"/>
      <c r="L46" s="27">
        <f t="shared" si="6"/>
        <v>0</v>
      </c>
      <c r="M46" s="27">
        <f t="shared" ref="M46:M47" si="24">Producer*SUM(B46,E46,G46,I46)</f>
        <v>0</v>
      </c>
      <c r="N46" s="20">
        <f>Gov*SUM(B46,D46,F46,F46,F46,H46,L46)</f>
        <v>0</v>
      </c>
      <c r="O46" s="20">
        <f t="shared" ref="O46:O47" si="25">Gov*SUM(C46,E46,G46,G46,G46,I46,M46)</f>
        <v>0</v>
      </c>
      <c r="P46" s="33"/>
    </row>
    <row r="47" spans="1:16" x14ac:dyDescent="0.55000000000000004">
      <c r="A47" s="11" t="s">
        <v>55</v>
      </c>
      <c r="B47" s="27">
        <v>8</v>
      </c>
      <c r="C47" s="27">
        <v>10</v>
      </c>
      <c r="D47" s="6"/>
      <c r="E47" s="6"/>
      <c r="F47" s="27">
        <f t="shared" si="20"/>
        <v>1</v>
      </c>
      <c r="G47" s="27">
        <f t="shared" si="22"/>
        <v>1.25</v>
      </c>
      <c r="H47" s="27">
        <f t="shared" si="21"/>
        <v>2</v>
      </c>
      <c r="I47" s="27">
        <f t="shared" si="23"/>
        <v>2.5</v>
      </c>
      <c r="J47" s="27"/>
      <c r="K47" s="27"/>
      <c r="L47" s="27">
        <f t="shared" si="6"/>
        <v>1.65</v>
      </c>
      <c r="M47" s="27">
        <f t="shared" si="24"/>
        <v>1.7625</v>
      </c>
      <c r="N47" s="20">
        <f>Gov*SUM(B47,D47,F47,F47,F47,H47,L47)</f>
        <v>0</v>
      </c>
      <c r="O47" s="20">
        <f t="shared" si="25"/>
        <v>0</v>
      </c>
      <c r="P47" s="33"/>
    </row>
    <row r="48" spans="1:16" x14ac:dyDescent="0.55000000000000004">
      <c r="A48" s="11" t="s">
        <v>56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0"/>
      <c r="O48" s="20"/>
      <c r="P48" s="33"/>
    </row>
    <row r="49" spans="1:16" x14ac:dyDescent="0.55000000000000004">
      <c r="A49" s="11" t="s">
        <v>101</v>
      </c>
      <c r="B49" s="38"/>
      <c r="C49" s="38"/>
      <c r="D49" s="27"/>
      <c r="E49" s="27"/>
      <c r="F49" s="27"/>
      <c r="G49" s="27"/>
      <c r="H49" s="27">
        <v>8</v>
      </c>
      <c r="I49" s="27">
        <v>16</v>
      </c>
      <c r="J49" s="27"/>
      <c r="K49" s="27"/>
      <c r="L49" s="27"/>
      <c r="M49" s="27"/>
      <c r="N49" s="20">
        <f>Gov*SUM(B95,D95,F95,H95)</f>
        <v>0</v>
      </c>
      <c r="O49" s="20"/>
      <c r="P49" s="30"/>
    </row>
    <row r="50" spans="1:16" x14ac:dyDescent="0.55000000000000004">
      <c r="A50" s="11" t="s">
        <v>102</v>
      </c>
      <c r="B50" s="27"/>
      <c r="C50" s="27"/>
      <c r="D50" s="27"/>
      <c r="E50" s="27"/>
      <c r="F50" s="27">
        <v>8</v>
      </c>
      <c r="G50" s="27">
        <v>16</v>
      </c>
      <c r="H50" s="27">
        <f t="shared" ref="H50:H51" si="26">SUM(B50,D50)*QA</f>
        <v>0</v>
      </c>
      <c r="I50" s="27">
        <f t="shared" ref="I50:I51" si="27">SUM(C50,E50)*QA</f>
        <v>0</v>
      </c>
      <c r="J50" s="28"/>
      <c r="K50" s="28"/>
      <c r="L50" s="27">
        <f t="shared" ref="L50:L51" si="28">Producer*SUM(B50,D50,F50,H50)</f>
        <v>1.2</v>
      </c>
      <c r="M50" s="27">
        <f t="shared" ref="M50:M51" si="29">Producer*SUM(B50,E50,G50,I50)</f>
        <v>2.4</v>
      </c>
      <c r="N50" s="20">
        <f t="shared" ref="N50:N51" si="30">Gov*SUM(B50,D50,F50,F50,F50,H50,L50)</f>
        <v>0</v>
      </c>
      <c r="O50" s="20">
        <f t="shared" ref="O50:O51" si="31">Gov*SUM(C50,E50,G50,G50,G50,I50,M50)</f>
        <v>0</v>
      </c>
      <c r="P50" s="17"/>
    </row>
    <row r="51" spans="1:16" x14ac:dyDescent="0.55000000000000004">
      <c r="A51" s="7" t="s">
        <v>57</v>
      </c>
      <c r="B51" s="27"/>
      <c r="C51" s="27"/>
      <c r="D51" s="27"/>
      <c r="E51" s="27"/>
      <c r="F51" s="27"/>
      <c r="G51" s="27"/>
      <c r="H51" s="27">
        <f t="shared" si="26"/>
        <v>0</v>
      </c>
      <c r="I51" s="27">
        <f t="shared" si="27"/>
        <v>0</v>
      </c>
      <c r="J51" s="28"/>
      <c r="K51" s="28"/>
      <c r="L51" s="27">
        <f t="shared" si="28"/>
        <v>0</v>
      </c>
      <c r="M51" s="27">
        <f t="shared" si="29"/>
        <v>0</v>
      </c>
      <c r="N51" s="20">
        <f t="shared" si="30"/>
        <v>0</v>
      </c>
      <c r="O51" s="20">
        <f t="shared" si="31"/>
        <v>0</v>
      </c>
      <c r="P51" s="17"/>
    </row>
    <row r="52" spans="1:16" x14ac:dyDescent="0.55000000000000004">
      <c r="A52" s="7" t="s">
        <v>58</v>
      </c>
      <c r="B52" s="27"/>
      <c r="C52" s="27"/>
      <c r="D52" s="27"/>
      <c r="E52" s="27"/>
      <c r="F52" s="27">
        <f>SUM(B52,D52)/8</f>
        <v>0</v>
      </c>
      <c r="G52" s="27">
        <f t="shared" ref="G52" si="32">SUM(C52,E52)/8</f>
        <v>0</v>
      </c>
      <c r="H52" s="27">
        <f t="shared" ref="H52:I52" si="33">SUM(B52,D52)*QA</f>
        <v>0</v>
      </c>
      <c r="I52" s="27">
        <f t="shared" si="33"/>
        <v>0</v>
      </c>
      <c r="J52" s="28"/>
      <c r="K52" s="28"/>
      <c r="L52" s="27">
        <f t="shared" ref="L52" si="34">Producer*SUM(B52,D52,F52,H52)</f>
        <v>0</v>
      </c>
      <c r="M52" s="27">
        <f t="shared" ref="M52" si="35">Producer*SUM(B52,E52,G52,I52)</f>
        <v>0</v>
      </c>
      <c r="N52" s="20">
        <f t="shared" ref="N52:O68" si="36">Gov*SUM(B52,D52,F52,F52,F52,H52,L52)</f>
        <v>0</v>
      </c>
      <c r="O52" s="20">
        <f t="shared" si="36"/>
        <v>0</v>
      </c>
      <c r="P52" s="10"/>
    </row>
    <row r="53" spans="1:16" x14ac:dyDescent="0.55000000000000004">
      <c r="A53" s="11" t="s">
        <v>59</v>
      </c>
      <c r="B53" s="27"/>
      <c r="C53" s="27"/>
      <c r="D53" s="27"/>
      <c r="E53" s="27"/>
      <c r="F53" s="27"/>
      <c r="G53" s="27"/>
      <c r="H53" s="27"/>
      <c r="I53" s="27"/>
      <c r="J53" s="28"/>
      <c r="K53" s="28"/>
      <c r="L53" s="27"/>
      <c r="M53" s="27"/>
      <c r="N53" s="20"/>
      <c r="O53" s="20"/>
      <c r="P53" s="37"/>
    </row>
    <row r="54" spans="1:16" x14ac:dyDescent="0.55000000000000004">
      <c r="A54" s="11" t="s">
        <v>60</v>
      </c>
      <c r="B54" s="27"/>
      <c r="C54" s="27"/>
      <c r="D54" s="27"/>
      <c r="E54" s="27"/>
      <c r="F54" s="27"/>
      <c r="G54" s="27"/>
      <c r="H54" s="27"/>
      <c r="I54" s="27"/>
      <c r="J54" s="28"/>
      <c r="K54" s="28"/>
      <c r="L54" s="27"/>
      <c r="M54" s="27"/>
      <c r="N54" s="20"/>
      <c r="O54" s="20"/>
      <c r="P54" s="17"/>
    </row>
    <row r="55" spans="1:16" x14ac:dyDescent="0.55000000000000004">
      <c r="A55" s="7" t="s">
        <v>61</v>
      </c>
      <c r="B55" s="27"/>
      <c r="C55" s="27"/>
      <c r="D55" s="27"/>
      <c r="E55" s="27"/>
      <c r="F55" s="27"/>
      <c r="G55" s="27"/>
      <c r="H55" s="27"/>
      <c r="I55" s="27"/>
      <c r="J55" s="28"/>
      <c r="K55" s="28"/>
      <c r="L55" s="27"/>
      <c r="M55" s="27"/>
      <c r="N55" s="20"/>
      <c r="O55" s="20"/>
      <c r="P55" s="32"/>
    </row>
    <row r="56" spans="1:16" x14ac:dyDescent="0.55000000000000004">
      <c r="A56" s="7" t="s">
        <v>62</v>
      </c>
      <c r="B56" s="27">
        <v>0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8</v>
      </c>
      <c r="I56" s="27">
        <v>16</v>
      </c>
      <c r="J56" s="27"/>
      <c r="K56" s="27"/>
      <c r="L56" s="27">
        <f t="shared" si="6"/>
        <v>1.2</v>
      </c>
      <c r="M56" s="27">
        <f t="shared" si="7"/>
        <v>2.4</v>
      </c>
      <c r="N56" s="20">
        <f t="shared" si="36"/>
        <v>0</v>
      </c>
      <c r="O56" s="20">
        <f t="shared" si="36"/>
        <v>0</v>
      </c>
      <c r="P56" s="32"/>
    </row>
    <row r="57" spans="1:16" x14ac:dyDescent="0.55000000000000004">
      <c r="A57" s="7" t="s">
        <v>63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0"/>
      <c r="O57" s="20"/>
      <c r="P57" s="32"/>
    </row>
    <row r="58" spans="1:16" x14ac:dyDescent="0.55000000000000004">
      <c r="A58" s="7" t="s">
        <v>64</v>
      </c>
      <c r="B58" s="27">
        <v>40</v>
      </c>
      <c r="C58" s="27">
        <v>60</v>
      </c>
      <c r="D58" s="27"/>
      <c r="E58" s="27"/>
      <c r="F58" s="27">
        <f>SUM(B58,D58)/8</f>
        <v>5</v>
      </c>
      <c r="G58" s="27">
        <f>SUM(C58,E58)/8</f>
        <v>7.5</v>
      </c>
      <c r="H58" s="27">
        <f t="shared" ref="H58:I63" si="37">SUM(B58,D58)*QA</f>
        <v>10</v>
      </c>
      <c r="I58" s="27">
        <f t="shared" si="37"/>
        <v>15</v>
      </c>
      <c r="J58" s="27"/>
      <c r="K58" s="27"/>
      <c r="L58" s="27">
        <f t="shared" si="6"/>
        <v>8.25</v>
      </c>
      <c r="M58" s="27">
        <f t="shared" si="7"/>
        <v>9.375</v>
      </c>
      <c r="N58" s="20">
        <f t="shared" si="36"/>
        <v>0</v>
      </c>
      <c r="O58" s="20">
        <f t="shared" si="36"/>
        <v>0</v>
      </c>
      <c r="P58" s="32" t="s">
        <v>103</v>
      </c>
    </row>
    <row r="59" spans="1:16" x14ac:dyDescent="0.55000000000000004">
      <c r="A59" s="29" t="s">
        <v>66</v>
      </c>
      <c r="B59" s="27"/>
      <c r="C59" s="27"/>
      <c r="D59" s="27"/>
      <c r="E59" s="27"/>
      <c r="F59" s="27"/>
      <c r="G59" s="27"/>
      <c r="H59" s="27">
        <f t="shared" si="37"/>
        <v>0</v>
      </c>
      <c r="I59" s="27">
        <f t="shared" si="37"/>
        <v>0</v>
      </c>
      <c r="J59" s="28"/>
      <c r="K59" s="28"/>
      <c r="L59" s="27">
        <f t="shared" si="6"/>
        <v>0</v>
      </c>
      <c r="M59" s="27">
        <f t="shared" si="7"/>
        <v>0</v>
      </c>
      <c r="N59" s="20">
        <f t="shared" si="36"/>
        <v>0</v>
      </c>
      <c r="O59" s="20">
        <f t="shared" si="36"/>
        <v>0</v>
      </c>
      <c r="P59" s="32"/>
    </row>
    <row r="60" spans="1:16" x14ac:dyDescent="0.55000000000000004">
      <c r="A60" s="11" t="s">
        <v>67</v>
      </c>
      <c r="B60" s="27">
        <v>0</v>
      </c>
      <c r="C60" s="27">
        <v>1</v>
      </c>
      <c r="D60" s="27">
        <v>0</v>
      </c>
      <c r="E60" s="27">
        <v>1</v>
      </c>
      <c r="F60" s="27">
        <v>8</v>
      </c>
      <c r="G60" s="27">
        <v>12</v>
      </c>
      <c r="H60" s="27">
        <f t="shared" si="37"/>
        <v>0</v>
      </c>
      <c r="I60" s="27"/>
      <c r="J60" s="28"/>
      <c r="K60" s="28"/>
      <c r="L60" s="27">
        <f t="shared" si="6"/>
        <v>1.2</v>
      </c>
      <c r="M60" s="27">
        <f t="shared" si="7"/>
        <v>1.95</v>
      </c>
      <c r="N60" s="20">
        <f t="shared" si="36"/>
        <v>0</v>
      </c>
      <c r="O60" s="20">
        <f t="shared" si="36"/>
        <v>0</v>
      </c>
      <c r="P60" s="32"/>
    </row>
    <row r="61" spans="1:16" x14ac:dyDescent="0.55000000000000004">
      <c r="A61" s="29" t="s">
        <v>68</v>
      </c>
      <c r="B61" s="27"/>
      <c r="C61" s="27"/>
      <c r="D61" s="27"/>
      <c r="E61" s="27"/>
      <c r="F61" s="27"/>
      <c r="G61" s="27"/>
      <c r="H61" s="27">
        <f t="shared" si="37"/>
        <v>0</v>
      </c>
      <c r="I61" s="27">
        <f t="shared" si="37"/>
        <v>0</v>
      </c>
      <c r="J61" s="28"/>
      <c r="K61" s="28"/>
      <c r="L61" s="27">
        <f t="shared" si="6"/>
        <v>0</v>
      </c>
      <c r="M61" s="27">
        <f t="shared" si="7"/>
        <v>0</v>
      </c>
      <c r="N61" s="20">
        <f t="shared" si="36"/>
        <v>0</v>
      </c>
      <c r="O61" s="20">
        <f t="shared" si="36"/>
        <v>0</v>
      </c>
      <c r="P61" s="32"/>
    </row>
    <row r="62" spans="1:16" ht="15" customHeight="1" x14ac:dyDescent="0.55000000000000004">
      <c r="A62" s="11" t="s">
        <v>69</v>
      </c>
      <c r="B62" s="27"/>
      <c r="C62" s="27"/>
      <c r="D62" s="27"/>
      <c r="E62" s="27"/>
      <c r="F62" s="27">
        <v>2</v>
      </c>
      <c r="G62" s="27">
        <v>2</v>
      </c>
      <c r="H62" s="27">
        <f t="shared" si="37"/>
        <v>0</v>
      </c>
      <c r="I62" s="27">
        <f t="shared" si="37"/>
        <v>0</v>
      </c>
      <c r="J62" s="28"/>
      <c r="K62" s="28"/>
      <c r="L62" s="27">
        <f t="shared" si="6"/>
        <v>0.3</v>
      </c>
      <c r="M62" s="27">
        <f t="shared" si="7"/>
        <v>0.3</v>
      </c>
      <c r="N62" s="20">
        <f t="shared" si="36"/>
        <v>0</v>
      </c>
      <c r="O62" s="20">
        <f t="shared" si="36"/>
        <v>0</v>
      </c>
      <c r="P62" s="32" t="s">
        <v>70</v>
      </c>
    </row>
    <row r="63" spans="1:16" x14ac:dyDescent="0.55000000000000004">
      <c r="A63" s="11" t="s">
        <v>71</v>
      </c>
      <c r="B63" s="27"/>
      <c r="C63" s="27"/>
      <c r="D63" s="27"/>
      <c r="E63" s="27"/>
      <c r="F63" s="27">
        <v>1</v>
      </c>
      <c r="G63" s="27">
        <v>1</v>
      </c>
      <c r="H63" s="27">
        <f t="shared" si="37"/>
        <v>0</v>
      </c>
      <c r="I63" s="27">
        <f t="shared" si="37"/>
        <v>0</v>
      </c>
      <c r="J63" s="28"/>
      <c r="K63" s="28"/>
      <c r="L63" s="27">
        <f t="shared" si="6"/>
        <v>0.15</v>
      </c>
      <c r="M63" s="27">
        <f t="shared" si="7"/>
        <v>0.15</v>
      </c>
      <c r="N63" s="20">
        <f t="shared" si="36"/>
        <v>0</v>
      </c>
      <c r="O63" s="20">
        <f t="shared" si="36"/>
        <v>0</v>
      </c>
      <c r="P63" s="32" t="s">
        <v>70</v>
      </c>
    </row>
    <row r="64" spans="1:16" x14ac:dyDescent="0.55000000000000004">
      <c r="A64" s="11" t="s">
        <v>72</v>
      </c>
      <c r="B64" s="27"/>
      <c r="C64" s="27"/>
      <c r="D64" s="27"/>
      <c r="E64" s="27"/>
      <c r="F64" s="27"/>
      <c r="G64" s="27"/>
      <c r="H64" s="27"/>
      <c r="I64" s="27"/>
      <c r="J64" s="28"/>
      <c r="K64" s="28"/>
      <c r="L64" s="27">
        <f t="shared" si="6"/>
        <v>0</v>
      </c>
      <c r="M64" s="27">
        <f t="shared" si="7"/>
        <v>0</v>
      </c>
      <c r="N64" s="20">
        <f t="shared" si="36"/>
        <v>0</v>
      </c>
      <c r="O64" s="20">
        <f t="shared" si="36"/>
        <v>0</v>
      </c>
      <c r="P64" s="32" t="s">
        <v>73</v>
      </c>
    </row>
    <row r="65" spans="1:16" x14ac:dyDescent="0.55000000000000004">
      <c r="A65" s="15" t="s">
        <v>74</v>
      </c>
      <c r="B65" s="27"/>
      <c r="C65" s="27"/>
      <c r="D65" s="27"/>
      <c r="E65" s="27"/>
      <c r="F65" s="27">
        <f t="shared" ref="F65:G68" si="38">SUM(B65,D65)/8</f>
        <v>0</v>
      </c>
      <c r="G65" s="27">
        <f>SUM(C65,E65)/8</f>
        <v>0</v>
      </c>
      <c r="H65" s="27">
        <f t="shared" ref="H65:I68" si="39">SUM(B65,D65)*QA</f>
        <v>0</v>
      </c>
      <c r="I65" s="27">
        <f>SUM(C65,E65)*QA</f>
        <v>0</v>
      </c>
      <c r="J65" s="28"/>
      <c r="K65" s="28"/>
      <c r="L65" s="27">
        <f t="shared" si="6"/>
        <v>0</v>
      </c>
      <c r="M65" s="27">
        <f>Producer*SUM(B65,E65,G65,I65)</f>
        <v>0</v>
      </c>
      <c r="N65" s="20">
        <f t="shared" si="36"/>
        <v>0</v>
      </c>
      <c r="O65" s="20">
        <f t="shared" si="36"/>
        <v>0</v>
      </c>
      <c r="P65" s="32"/>
    </row>
    <row r="66" spans="1:16" x14ac:dyDescent="0.55000000000000004">
      <c r="A66" s="11" t="s">
        <v>75</v>
      </c>
      <c r="B66" s="27"/>
      <c r="C66" s="27"/>
      <c r="D66" s="27">
        <v>3</v>
      </c>
      <c r="E66" s="27">
        <v>4</v>
      </c>
      <c r="F66" s="27">
        <f t="shared" si="38"/>
        <v>0.375</v>
      </c>
      <c r="G66" s="27">
        <f t="shared" si="38"/>
        <v>0.5</v>
      </c>
      <c r="H66" s="27">
        <f t="shared" si="39"/>
        <v>0.75</v>
      </c>
      <c r="I66" s="27">
        <f t="shared" si="39"/>
        <v>1</v>
      </c>
      <c r="J66" s="28"/>
      <c r="K66" s="28"/>
      <c r="L66" s="27">
        <f t="shared" si="6"/>
        <v>0.61875000000000002</v>
      </c>
      <c r="M66" s="27">
        <f t="shared" ref="M66:M68" si="40">Producer*SUM(B66,E66,G66,I66)</f>
        <v>0.82499999999999996</v>
      </c>
      <c r="N66" s="20">
        <f t="shared" si="36"/>
        <v>0</v>
      </c>
      <c r="O66" s="20">
        <f t="shared" si="36"/>
        <v>0</v>
      </c>
      <c r="P66" s="32" t="s">
        <v>76</v>
      </c>
    </row>
    <row r="67" spans="1:16" x14ac:dyDescent="0.55000000000000004">
      <c r="A67" s="11" t="s">
        <v>77</v>
      </c>
      <c r="B67" s="27"/>
      <c r="C67" s="27"/>
      <c r="D67" s="27">
        <v>3</v>
      </c>
      <c r="E67" s="27">
        <v>4</v>
      </c>
      <c r="F67" s="27">
        <f t="shared" si="38"/>
        <v>0.375</v>
      </c>
      <c r="G67" s="27">
        <f t="shared" si="38"/>
        <v>0.5</v>
      </c>
      <c r="H67" s="27">
        <f t="shared" si="39"/>
        <v>0.75</v>
      </c>
      <c r="I67" s="27">
        <f t="shared" si="39"/>
        <v>1</v>
      </c>
      <c r="J67" s="28"/>
      <c r="K67" s="28"/>
      <c r="L67" s="27">
        <f t="shared" si="6"/>
        <v>0.61875000000000002</v>
      </c>
      <c r="M67" s="27">
        <f t="shared" si="40"/>
        <v>0.82499999999999996</v>
      </c>
      <c r="N67" s="20">
        <f t="shared" si="36"/>
        <v>0</v>
      </c>
      <c r="O67" s="20">
        <f t="shared" si="36"/>
        <v>0</v>
      </c>
      <c r="P67" s="32" t="s">
        <v>76</v>
      </c>
    </row>
    <row r="68" spans="1:16" x14ac:dyDescent="0.55000000000000004">
      <c r="A68" s="11" t="s">
        <v>78</v>
      </c>
      <c r="B68" s="27"/>
      <c r="C68" s="27"/>
      <c r="D68" s="27">
        <v>2</v>
      </c>
      <c r="E68" s="27">
        <v>4</v>
      </c>
      <c r="F68" s="27">
        <f t="shared" si="38"/>
        <v>0.25</v>
      </c>
      <c r="G68" s="27">
        <f t="shared" si="38"/>
        <v>0.5</v>
      </c>
      <c r="H68" s="27">
        <f t="shared" si="39"/>
        <v>0.5</v>
      </c>
      <c r="I68" s="27">
        <f t="shared" si="39"/>
        <v>1</v>
      </c>
      <c r="J68" s="28"/>
      <c r="K68" s="28"/>
      <c r="L68" s="27">
        <f t="shared" si="6"/>
        <v>0.41249999999999998</v>
      </c>
      <c r="M68" s="27">
        <f t="shared" si="40"/>
        <v>0.82499999999999996</v>
      </c>
      <c r="N68" s="20">
        <f t="shared" si="36"/>
        <v>0</v>
      </c>
      <c r="O68" s="20">
        <f t="shared" si="36"/>
        <v>0</v>
      </c>
      <c r="P68" s="32" t="s">
        <v>79</v>
      </c>
    </row>
    <row r="69" spans="1:16" x14ac:dyDescent="0.55000000000000004">
      <c r="A69" s="12" t="s">
        <v>80</v>
      </c>
      <c r="B69" s="23">
        <f t="shared" ref="B69:O69" si="41">SUM(B5:B68)</f>
        <v>332</v>
      </c>
      <c r="C69" s="23">
        <f t="shared" si="41"/>
        <v>657</v>
      </c>
      <c r="D69" s="23">
        <f t="shared" si="41"/>
        <v>97</v>
      </c>
      <c r="E69" s="23">
        <f t="shared" si="41"/>
        <v>153</v>
      </c>
      <c r="F69" s="23">
        <f t="shared" si="41"/>
        <v>72.625</v>
      </c>
      <c r="G69" s="23">
        <f t="shared" si="41"/>
        <v>125.5</v>
      </c>
      <c r="H69" s="23">
        <f t="shared" si="41"/>
        <v>109.75</v>
      </c>
      <c r="I69" s="23">
        <f t="shared" si="41"/>
        <v>165</v>
      </c>
      <c r="J69" s="23">
        <f t="shared" si="41"/>
        <v>0</v>
      </c>
      <c r="K69" s="23">
        <f t="shared" si="41"/>
        <v>0</v>
      </c>
      <c r="L69" s="23">
        <f t="shared" si="41"/>
        <v>58.743750000000006</v>
      </c>
      <c r="M69" s="23">
        <f t="shared" si="41"/>
        <v>78.425000000000011</v>
      </c>
      <c r="N69" s="23">
        <f t="shared" si="41"/>
        <v>0.96250000000000002</v>
      </c>
      <c r="O69" s="23">
        <f t="shared" si="41"/>
        <v>0</v>
      </c>
      <c r="P69" s="32"/>
    </row>
    <row r="70" spans="1:16" x14ac:dyDescent="0.55000000000000004">
      <c r="A70" s="11" t="s">
        <v>81</v>
      </c>
      <c r="B70" s="20">
        <f t="shared" ref="B70:O70" si="42">Agile*B69</f>
        <v>49.8</v>
      </c>
      <c r="C70" s="20">
        <f t="shared" si="42"/>
        <v>98.55</v>
      </c>
      <c r="D70" s="20">
        <f t="shared" si="42"/>
        <v>14.549999999999999</v>
      </c>
      <c r="E70" s="20">
        <f t="shared" si="42"/>
        <v>22.95</v>
      </c>
      <c r="F70" s="20">
        <f t="shared" si="42"/>
        <v>10.893749999999999</v>
      </c>
      <c r="G70" s="20">
        <f t="shared" si="42"/>
        <v>18.824999999999999</v>
      </c>
      <c r="H70" s="20">
        <f t="shared" si="42"/>
        <v>16.462499999999999</v>
      </c>
      <c r="I70" s="20">
        <f t="shared" si="42"/>
        <v>24.75</v>
      </c>
      <c r="J70" s="20">
        <f t="shared" si="42"/>
        <v>0</v>
      </c>
      <c r="K70" s="20">
        <f t="shared" si="42"/>
        <v>0</v>
      </c>
      <c r="L70" s="20">
        <f t="shared" si="42"/>
        <v>8.8115625000000009</v>
      </c>
      <c r="M70" s="20">
        <f t="shared" si="42"/>
        <v>11.763750000000002</v>
      </c>
      <c r="N70" s="20">
        <f t="shared" si="42"/>
        <v>0.144375</v>
      </c>
      <c r="O70" s="20">
        <f t="shared" si="42"/>
        <v>0</v>
      </c>
      <c r="P70" s="32"/>
    </row>
    <row r="71" spans="1:16" x14ac:dyDescent="0.55000000000000004">
      <c r="A71" s="11" t="s">
        <v>82</v>
      </c>
      <c r="B71" s="20">
        <f t="shared" ref="B71:O71" si="43">SUM(B69:B70)</f>
        <v>381.8</v>
      </c>
      <c r="C71" s="20">
        <f t="shared" si="43"/>
        <v>755.55</v>
      </c>
      <c r="D71" s="20">
        <f t="shared" si="43"/>
        <v>111.55</v>
      </c>
      <c r="E71" s="20">
        <f t="shared" si="43"/>
        <v>175.95</v>
      </c>
      <c r="F71" s="20">
        <f t="shared" si="43"/>
        <v>83.518749999999997</v>
      </c>
      <c r="G71" s="20">
        <f t="shared" si="43"/>
        <v>144.32499999999999</v>
      </c>
      <c r="H71" s="20">
        <f t="shared" si="43"/>
        <v>126.21250000000001</v>
      </c>
      <c r="I71" s="20">
        <f t="shared" si="43"/>
        <v>189.75</v>
      </c>
      <c r="J71" s="20">
        <f t="shared" si="43"/>
        <v>0</v>
      </c>
      <c r="K71" s="20">
        <f t="shared" si="43"/>
        <v>0</v>
      </c>
      <c r="L71" s="20">
        <f t="shared" si="43"/>
        <v>67.555312500000014</v>
      </c>
      <c r="M71" s="20">
        <f t="shared" si="43"/>
        <v>90.188750000000013</v>
      </c>
      <c r="N71" s="20">
        <f t="shared" si="43"/>
        <v>1.1068750000000001</v>
      </c>
      <c r="O71" s="20">
        <f t="shared" si="43"/>
        <v>0</v>
      </c>
      <c r="P71" s="32"/>
    </row>
    <row r="72" spans="1:16" x14ac:dyDescent="0.55000000000000004">
      <c r="A72" s="11" t="s">
        <v>83</v>
      </c>
      <c r="B72" s="25">
        <f t="shared" ref="B72:I72" si="44">B71*(1+Buffer)</f>
        <v>419.98</v>
      </c>
      <c r="C72" s="25">
        <f t="shared" si="44"/>
        <v>831.10500000000002</v>
      </c>
      <c r="D72" s="25">
        <f t="shared" si="44"/>
        <v>122.70500000000001</v>
      </c>
      <c r="E72" s="25">
        <f>E71*(1+Buffer)</f>
        <v>193.54500000000002</v>
      </c>
      <c r="F72" s="25">
        <f t="shared" si="44"/>
        <v>91.870625000000004</v>
      </c>
      <c r="G72" s="25">
        <f t="shared" si="44"/>
        <v>158.75749999999999</v>
      </c>
      <c r="H72" s="25">
        <f t="shared" si="44"/>
        <v>138.83375000000001</v>
      </c>
      <c r="I72" s="25">
        <f t="shared" si="44"/>
        <v>208.72500000000002</v>
      </c>
      <c r="J72" s="25">
        <f t="shared" ref="J72:K72" si="45">J71*1.15</f>
        <v>0</v>
      </c>
      <c r="K72" s="25">
        <f t="shared" si="45"/>
        <v>0</v>
      </c>
      <c r="L72" s="25">
        <f>L71*(1+Buffer)</f>
        <v>74.310843750000018</v>
      </c>
      <c r="M72" s="25">
        <f>M71*(1+Buffer)</f>
        <v>99.207625000000021</v>
      </c>
      <c r="N72" s="25">
        <f>N71*(1+Buffer)</f>
        <v>1.2175625000000001</v>
      </c>
      <c r="O72" s="25">
        <f>O71*(1+Buffer)</f>
        <v>0</v>
      </c>
      <c r="P72" s="32"/>
    </row>
    <row r="73" spans="1:16" x14ac:dyDescent="0.55000000000000004">
      <c r="A73" s="11" t="s">
        <v>84</v>
      </c>
      <c r="B73" s="26">
        <f>B72/40</f>
        <v>10.499500000000001</v>
      </c>
      <c r="C73" s="26">
        <f t="shared" ref="C73:O73" si="46">C72/40</f>
        <v>20.777625</v>
      </c>
      <c r="D73" s="26">
        <f t="shared" si="46"/>
        <v>3.0676250000000005</v>
      </c>
      <c r="E73" s="26">
        <f t="shared" si="46"/>
        <v>4.8386250000000004</v>
      </c>
      <c r="F73" s="26">
        <f t="shared" si="46"/>
        <v>2.2967656249999999</v>
      </c>
      <c r="G73" s="26">
        <f t="shared" si="46"/>
        <v>3.9689375</v>
      </c>
      <c r="H73" s="26">
        <f t="shared" si="46"/>
        <v>3.4708437500000002</v>
      </c>
      <c r="I73" s="26">
        <f t="shared" si="46"/>
        <v>5.2181250000000006</v>
      </c>
      <c r="J73" s="26">
        <f t="shared" si="46"/>
        <v>0</v>
      </c>
      <c r="K73" s="26">
        <f t="shared" si="46"/>
        <v>0</v>
      </c>
      <c r="L73" s="26">
        <f t="shared" si="46"/>
        <v>1.8577710937500005</v>
      </c>
      <c r="M73" s="26">
        <f t="shared" si="46"/>
        <v>2.4801906250000005</v>
      </c>
      <c r="N73" s="26">
        <f t="shared" si="46"/>
        <v>3.0439062500000003E-2</v>
      </c>
      <c r="O73" s="26">
        <f t="shared" si="46"/>
        <v>0</v>
      </c>
      <c r="P73" s="32"/>
    </row>
    <row r="74" spans="1:16" x14ac:dyDescent="0.55000000000000004">
      <c r="A74" s="13" t="s">
        <v>85</v>
      </c>
      <c r="B74" s="1">
        <v>90</v>
      </c>
      <c r="C74" s="1">
        <v>90</v>
      </c>
      <c r="D74" s="1">
        <v>90</v>
      </c>
      <c r="E74" s="1">
        <v>90</v>
      </c>
      <c r="F74" s="1">
        <v>130</v>
      </c>
      <c r="G74" s="1">
        <v>130</v>
      </c>
      <c r="H74" s="1">
        <v>95</v>
      </c>
      <c r="I74" s="1">
        <v>95</v>
      </c>
      <c r="J74" s="1">
        <v>85</v>
      </c>
      <c r="K74" s="1">
        <v>85</v>
      </c>
      <c r="L74" s="1">
        <v>110</v>
      </c>
      <c r="M74" s="1">
        <v>110</v>
      </c>
      <c r="N74" s="1">
        <v>240</v>
      </c>
      <c r="O74" s="1">
        <v>240</v>
      </c>
      <c r="P74" s="34"/>
    </row>
    <row r="75" spans="1:16" x14ac:dyDescent="0.55000000000000004">
      <c r="A75" s="16" t="s">
        <v>86</v>
      </c>
      <c r="B75" s="21">
        <f>B74*B72</f>
        <v>37798.200000000004</v>
      </c>
      <c r="C75" s="21">
        <f t="shared" ref="C75:N75" si="47">C74*C72</f>
        <v>74799.45</v>
      </c>
      <c r="D75" s="21">
        <f t="shared" si="47"/>
        <v>11043.45</v>
      </c>
      <c r="E75" s="21">
        <f>E74*E72</f>
        <v>17419.050000000003</v>
      </c>
      <c r="F75" s="21">
        <f t="shared" si="47"/>
        <v>11943.18125</v>
      </c>
      <c r="G75" s="21">
        <f t="shared" si="47"/>
        <v>20638.474999999999</v>
      </c>
      <c r="H75" s="21">
        <f t="shared" si="47"/>
        <v>13189.206250000001</v>
      </c>
      <c r="I75" s="21">
        <f t="shared" si="47"/>
        <v>19828.875000000004</v>
      </c>
      <c r="J75" s="21">
        <f t="shared" si="47"/>
        <v>0</v>
      </c>
      <c r="K75" s="21">
        <f t="shared" si="47"/>
        <v>0</v>
      </c>
      <c r="L75" s="21">
        <f t="shared" si="47"/>
        <v>8174.1928125000022</v>
      </c>
      <c r="M75" s="21">
        <f t="shared" si="47"/>
        <v>10912.838750000003</v>
      </c>
      <c r="N75" s="21">
        <f t="shared" si="47"/>
        <v>292.21500000000003</v>
      </c>
      <c r="O75" s="21">
        <f>O74*O72</f>
        <v>0</v>
      </c>
      <c r="P75" s="10"/>
    </row>
    <row r="76" spans="1:16" x14ac:dyDescent="0.55000000000000004">
      <c r="A76" s="11"/>
      <c r="B76" s="11"/>
      <c r="C76" s="11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10"/>
    </row>
    <row r="77" spans="1:16" x14ac:dyDescent="0.55000000000000004">
      <c r="A77" s="11"/>
      <c r="B77" s="11"/>
      <c r="C77" s="11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10"/>
    </row>
    <row r="78" spans="1:16" x14ac:dyDescent="0.55000000000000004">
      <c r="A78" s="16" t="s">
        <v>87</v>
      </c>
      <c r="B78" s="16"/>
      <c r="C78" s="16"/>
      <c r="D78" s="6"/>
      <c r="E78" s="6"/>
      <c r="F78" s="6" t="s">
        <v>88</v>
      </c>
      <c r="G78" s="6" t="s">
        <v>89</v>
      </c>
      <c r="H78" s="6" t="s">
        <v>90</v>
      </c>
      <c r="I78" s="6"/>
      <c r="J78" s="6"/>
      <c r="K78" s="6"/>
      <c r="L78" s="6"/>
      <c r="M78" s="6"/>
      <c r="N78" s="6"/>
      <c r="O78" s="6"/>
      <c r="P78" s="10"/>
    </row>
    <row r="79" spans="1:16" ht="15.75" customHeight="1" x14ac:dyDescent="0.55000000000000004">
      <c r="A79" s="10"/>
      <c r="B79" s="17"/>
      <c r="C79" s="17"/>
      <c r="D79" s="6"/>
      <c r="E79" s="6"/>
      <c r="F79" s="22">
        <f>SUM(D75,F75,H75,L75, B75,J75,N75)</f>
        <v>82440.4453125</v>
      </c>
      <c r="G79" s="22">
        <f>SUM(F79,H79)/2</f>
        <v>113019.56703125002</v>
      </c>
      <c r="H79" s="22">
        <f>SUM(E75,G75,I75,M75, C75,K75,O75)</f>
        <v>143598.68875000003</v>
      </c>
      <c r="I79" s="6"/>
      <c r="J79" s="6"/>
      <c r="K79" s="6"/>
      <c r="L79" s="6"/>
      <c r="M79" s="6"/>
      <c r="N79" s="6"/>
      <c r="O79" s="6"/>
      <c r="P79" s="10"/>
    </row>
    <row r="80" spans="1:16" x14ac:dyDescent="0.55000000000000004">
      <c r="A80" s="10"/>
      <c r="B80" s="10"/>
      <c r="C80" s="10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10"/>
    </row>
    <row r="81" spans="1:16" x14ac:dyDescent="0.55000000000000004">
      <c r="A81" s="6"/>
      <c r="B81" s="10"/>
      <c r="C81" s="10"/>
      <c r="D81" s="6"/>
      <c r="E81" s="6" t="s">
        <v>104</v>
      </c>
      <c r="F81" s="6" t="s">
        <v>105</v>
      </c>
      <c r="G81" s="6"/>
      <c r="H81" s="6"/>
      <c r="I81" s="6"/>
      <c r="J81" s="6"/>
      <c r="K81" s="6"/>
      <c r="L81" s="6"/>
      <c r="M81" s="6"/>
      <c r="N81" s="6"/>
      <c r="O81" s="6"/>
      <c r="P81" s="10"/>
    </row>
    <row r="82" spans="1:16" x14ac:dyDescent="0.55000000000000004">
      <c r="A82" s="10"/>
      <c r="B82" s="10"/>
      <c r="C82" s="10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10"/>
    </row>
    <row r="83" spans="1:16" x14ac:dyDescent="0.55000000000000004">
      <c r="A83" s="10"/>
      <c r="B83" s="10"/>
      <c r="C83" s="10"/>
      <c r="D83" s="15" t="s">
        <v>81</v>
      </c>
      <c r="E83" s="15" t="s">
        <v>96</v>
      </c>
      <c r="F83" s="6"/>
      <c r="G83" s="6"/>
      <c r="H83" s="6"/>
      <c r="I83" s="6"/>
      <c r="J83" s="6"/>
      <c r="K83" s="6"/>
      <c r="L83" s="6"/>
      <c r="M83" s="6"/>
      <c r="N83" s="6"/>
      <c r="O83" s="6"/>
      <c r="P83" s="10"/>
    </row>
    <row r="84" spans="1:16" x14ac:dyDescent="0.55000000000000004">
      <c r="A84" s="10"/>
      <c r="B84" s="10"/>
      <c r="C84" s="10"/>
      <c r="D84" s="18">
        <v>0.15</v>
      </c>
      <c r="E84" s="19">
        <v>0.25</v>
      </c>
      <c r="F84" s="6"/>
      <c r="G84" s="6"/>
      <c r="H84" s="6"/>
      <c r="I84" s="6"/>
      <c r="J84" s="6"/>
      <c r="K84" s="6"/>
      <c r="L84" s="6"/>
      <c r="M84" s="6"/>
      <c r="N84" s="6"/>
      <c r="O84" s="6"/>
      <c r="P84" s="10"/>
    </row>
    <row r="85" spans="1:16" x14ac:dyDescent="0.55000000000000004">
      <c r="A85" s="10"/>
      <c r="B85" s="10"/>
      <c r="C85" s="10"/>
      <c r="D85" s="15" t="s">
        <v>97</v>
      </c>
      <c r="E85" s="15" t="s">
        <v>98</v>
      </c>
      <c r="F85" s="6"/>
      <c r="G85" s="6"/>
      <c r="H85" s="6"/>
      <c r="I85" s="6"/>
      <c r="J85" s="6"/>
      <c r="K85" s="6"/>
      <c r="L85" s="6"/>
      <c r="M85" s="6"/>
      <c r="N85" s="6"/>
      <c r="O85" s="6"/>
      <c r="P85" s="10"/>
    </row>
    <row r="86" spans="1:16" x14ac:dyDescent="0.55000000000000004">
      <c r="A86" s="10"/>
      <c r="B86" s="10"/>
      <c r="C86" s="10"/>
      <c r="D86" s="18">
        <v>0.15</v>
      </c>
      <c r="E86" s="18">
        <v>0.15</v>
      </c>
      <c r="F86" s="6"/>
      <c r="G86" s="6"/>
      <c r="H86" s="6"/>
      <c r="I86" s="6"/>
      <c r="J86" s="6"/>
      <c r="K86" s="6"/>
      <c r="L86" s="6"/>
      <c r="M86" s="6"/>
      <c r="N86" s="6"/>
      <c r="O86" s="6"/>
      <c r="P86" s="10"/>
    </row>
    <row r="87" spans="1:16" x14ac:dyDescent="0.55000000000000004">
      <c r="A87" s="10"/>
      <c r="B87" s="10"/>
      <c r="C87" s="10"/>
      <c r="D87" s="15" t="s">
        <v>99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10"/>
    </row>
    <row r="88" spans="1:16" x14ac:dyDescent="0.55000000000000004">
      <c r="A88" s="10"/>
      <c r="B88" s="10"/>
      <c r="C88" s="10"/>
      <c r="D88" s="36">
        <v>0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10"/>
    </row>
    <row r="89" spans="1:16" x14ac:dyDescent="0.55000000000000004">
      <c r="A89" s="10"/>
      <c r="B89" s="10"/>
      <c r="C89" s="10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10"/>
    </row>
    <row r="90" spans="1:16" x14ac:dyDescent="0.55000000000000004">
      <c r="A90" s="10"/>
      <c r="B90" s="10"/>
      <c r="C90" s="10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10"/>
    </row>
    <row r="91" spans="1:16" x14ac:dyDescent="0.55000000000000004">
      <c r="A91" s="10"/>
      <c r="B91" s="10"/>
      <c r="C91" s="10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10"/>
    </row>
    <row r="92" spans="1:16" x14ac:dyDescent="0.55000000000000004">
      <c r="A92" s="10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10"/>
    </row>
    <row r="93" spans="1:16" x14ac:dyDescent="0.55000000000000004">
      <c r="A93" s="10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10"/>
    </row>
    <row r="94" spans="1:16" x14ac:dyDescent="0.55000000000000004">
      <c r="A94" s="10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10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796A2-4E98-4E5F-A24E-6588F3D077C4}">
  <dimension ref="A1:P94"/>
  <sheetViews>
    <sheetView tabSelected="1" workbookViewId="0">
      <selection activeCell="A40" sqref="A40"/>
    </sheetView>
  </sheetViews>
  <sheetFormatPr defaultRowHeight="14.4" x14ac:dyDescent="0.55000000000000004"/>
  <cols>
    <col min="1" max="1" width="86.68359375" bestFit="1" customWidth="1"/>
    <col min="6" max="7" width="13" bestFit="1" customWidth="1"/>
    <col min="8" max="8" width="10.26171875" bestFit="1" customWidth="1"/>
    <col min="9" max="9" width="12.68359375" bestFit="1" customWidth="1"/>
    <col min="11" max="11" width="11.83984375" bestFit="1" customWidth="1"/>
    <col min="16" max="16" width="13" customWidth="1"/>
  </cols>
  <sheetData>
    <row r="1" spans="1:16" x14ac:dyDescent="0.5500000000000000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10"/>
    </row>
    <row r="2" spans="1:16" x14ac:dyDescent="0.5500000000000000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x14ac:dyDescent="0.55000000000000004">
      <c r="A3" s="4"/>
      <c r="B3" s="4"/>
      <c r="C3" s="4"/>
      <c r="D3" s="4"/>
      <c r="E3" s="4"/>
      <c r="F3" s="24"/>
      <c r="G3" s="4"/>
      <c r="H3" s="4"/>
      <c r="I3" s="4"/>
      <c r="J3" s="4"/>
      <c r="K3" s="4"/>
      <c r="L3" s="4"/>
      <c r="M3" s="4"/>
      <c r="N3" s="24"/>
      <c r="O3" s="4"/>
      <c r="P3" s="5"/>
    </row>
    <row r="4" spans="1:16" x14ac:dyDescent="0.55000000000000004">
      <c r="A4" s="29" t="s">
        <v>16</v>
      </c>
      <c r="B4" s="27"/>
      <c r="C4" s="27"/>
      <c r="D4" s="27"/>
      <c r="E4" s="27"/>
      <c r="F4" s="9"/>
      <c r="G4" s="9"/>
      <c r="H4" s="9"/>
      <c r="I4" s="9"/>
      <c r="J4" s="9"/>
      <c r="K4" s="9"/>
      <c r="L4" s="9"/>
      <c r="M4" s="9"/>
      <c r="N4" s="35"/>
      <c r="O4" s="9"/>
      <c r="P4" s="31"/>
    </row>
    <row r="5" spans="1:16" x14ac:dyDescent="0.55000000000000004">
      <c r="A5" s="11" t="s">
        <v>17</v>
      </c>
      <c r="B5" s="27">
        <v>0</v>
      </c>
      <c r="C5" s="27">
        <v>0</v>
      </c>
      <c r="D5" s="27">
        <v>0</v>
      </c>
      <c r="E5" s="27">
        <v>0</v>
      </c>
      <c r="F5" s="20">
        <v>1</v>
      </c>
      <c r="G5" s="20">
        <v>1</v>
      </c>
      <c r="H5" s="20">
        <v>4</v>
      </c>
      <c r="I5" s="20">
        <v>4</v>
      </c>
      <c r="J5" s="8"/>
      <c r="K5" s="8"/>
      <c r="L5" s="20">
        <v>4</v>
      </c>
      <c r="M5" s="20">
        <v>6</v>
      </c>
      <c r="N5" s="20">
        <f t="shared" ref="N5:O10" si="0">Gov*SUM(B5,D5,F5,F5,F5,H5,L5)</f>
        <v>0</v>
      </c>
      <c r="O5" s="20">
        <f t="shared" si="0"/>
        <v>0</v>
      </c>
      <c r="P5" s="31"/>
    </row>
    <row r="6" spans="1:16" x14ac:dyDescent="0.55000000000000004">
      <c r="A6" s="11" t="s">
        <v>18</v>
      </c>
      <c r="B6" s="27">
        <v>0</v>
      </c>
      <c r="C6" s="27">
        <v>0</v>
      </c>
      <c r="D6" s="27">
        <v>0</v>
      </c>
      <c r="E6" s="27">
        <v>0</v>
      </c>
      <c r="F6" s="27">
        <v>1</v>
      </c>
      <c r="G6" s="27">
        <v>2</v>
      </c>
      <c r="H6" s="27">
        <v>8</v>
      </c>
      <c r="I6" s="27">
        <v>12</v>
      </c>
      <c r="J6" s="28"/>
      <c r="K6" s="28"/>
      <c r="L6" s="27">
        <v>2</v>
      </c>
      <c r="M6" s="27">
        <v>2</v>
      </c>
      <c r="N6" s="20">
        <f t="shared" si="0"/>
        <v>0</v>
      </c>
      <c r="O6" s="20">
        <f t="shared" si="0"/>
        <v>0</v>
      </c>
      <c r="P6" s="33"/>
    </row>
    <row r="7" spans="1:16" x14ac:dyDescent="0.55000000000000004">
      <c r="A7" s="11" t="s">
        <v>19</v>
      </c>
      <c r="B7" s="27">
        <v>2</v>
      </c>
      <c r="C7" s="27">
        <v>6</v>
      </c>
      <c r="D7" s="27">
        <v>8</v>
      </c>
      <c r="E7" s="27">
        <v>12</v>
      </c>
      <c r="F7" s="27">
        <v>1</v>
      </c>
      <c r="G7" s="27">
        <v>1</v>
      </c>
      <c r="H7" s="27"/>
      <c r="I7" s="27"/>
      <c r="J7" s="28"/>
      <c r="K7" s="28"/>
      <c r="L7" s="27">
        <f t="shared" ref="L7:L20" si="1">Producer*SUM(B7,D7,F7,H7)</f>
        <v>1.65</v>
      </c>
      <c r="M7" s="27">
        <f t="shared" ref="M7:M20" si="2">Producer*SUM(B7,E7,G7,I7)</f>
        <v>2.25</v>
      </c>
      <c r="N7" s="20">
        <f t="shared" si="0"/>
        <v>0</v>
      </c>
      <c r="O7" s="20">
        <f t="shared" si="0"/>
        <v>0</v>
      </c>
      <c r="P7" s="33"/>
    </row>
    <row r="8" spans="1:16" x14ac:dyDescent="0.55000000000000004">
      <c r="A8" s="11" t="s">
        <v>20</v>
      </c>
      <c r="B8" s="27">
        <v>0</v>
      </c>
      <c r="C8" s="27">
        <v>0</v>
      </c>
      <c r="D8" s="27">
        <v>0</v>
      </c>
      <c r="E8" s="27">
        <v>0</v>
      </c>
      <c r="F8" s="27">
        <v>2</v>
      </c>
      <c r="G8" s="27">
        <v>3</v>
      </c>
      <c r="H8" s="27">
        <v>32</v>
      </c>
      <c r="I8" s="27">
        <v>40</v>
      </c>
      <c r="J8" s="28"/>
      <c r="K8" s="28"/>
      <c r="L8" s="27">
        <f t="shared" si="1"/>
        <v>5.0999999999999996</v>
      </c>
      <c r="M8" s="27">
        <f t="shared" si="2"/>
        <v>6.45</v>
      </c>
      <c r="N8" s="20">
        <f t="shared" si="0"/>
        <v>0</v>
      </c>
      <c r="O8" s="20">
        <f t="shared" si="0"/>
        <v>0</v>
      </c>
      <c r="P8" s="33"/>
    </row>
    <row r="9" spans="1:16" x14ac:dyDescent="0.55000000000000004">
      <c r="A9" s="11" t="s">
        <v>21</v>
      </c>
      <c r="B9" s="27"/>
      <c r="C9" s="27"/>
      <c r="D9" s="27"/>
      <c r="E9" s="27"/>
      <c r="F9" s="27"/>
      <c r="G9" s="27"/>
      <c r="H9" s="27"/>
      <c r="I9" s="27"/>
      <c r="J9" s="28"/>
      <c r="K9" s="28"/>
      <c r="L9" s="27"/>
      <c r="M9" s="27"/>
      <c r="N9" s="20"/>
      <c r="O9" s="20"/>
      <c r="P9" s="33"/>
    </row>
    <row r="10" spans="1:16" x14ac:dyDescent="0.55000000000000004">
      <c r="A10" s="29" t="s">
        <v>22</v>
      </c>
      <c r="B10" s="27"/>
      <c r="C10" s="27"/>
      <c r="D10" s="27"/>
      <c r="E10" s="27"/>
      <c r="F10" s="27"/>
      <c r="G10" s="27"/>
      <c r="H10" s="27"/>
      <c r="I10" s="27"/>
      <c r="J10" s="28"/>
      <c r="K10" s="28"/>
      <c r="L10" s="27">
        <f t="shared" si="1"/>
        <v>0</v>
      </c>
      <c r="M10" s="27">
        <f t="shared" si="2"/>
        <v>0</v>
      </c>
      <c r="N10" s="20">
        <f t="shared" si="0"/>
        <v>0</v>
      </c>
      <c r="O10" s="20">
        <f t="shared" si="0"/>
        <v>0</v>
      </c>
      <c r="P10" s="33"/>
    </row>
    <row r="11" spans="1:16" x14ac:dyDescent="0.55000000000000004">
      <c r="A11" s="16"/>
      <c r="B11" s="38"/>
      <c r="C11" s="38"/>
      <c r="D11" s="27"/>
      <c r="E11" s="27"/>
      <c r="F11" s="27"/>
      <c r="G11" s="27"/>
      <c r="H11" s="27"/>
      <c r="I11" s="27"/>
      <c r="J11" s="28"/>
      <c r="K11" s="28"/>
      <c r="L11" s="27">
        <f t="shared" si="1"/>
        <v>0</v>
      </c>
      <c r="M11" s="27">
        <f t="shared" si="2"/>
        <v>0</v>
      </c>
      <c r="N11" s="20">
        <f>Gov*SUM(B57,D57,F57,H57)</f>
        <v>0</v>
      </c>
      <c r="O11" s="20"/>
      <c r="P11" s="30"/>
    </row>
    <row r="12" spans="1:16" x14ac:dyDescent="0.55000000000000004">
      <c r="A12" s="41" t="s">
        <v>23</v>
      </c>
      <c r="B12" s="38"/>
      <c r="C12" s="38"/>
      <c r="D12" s="27"/>
      <c r="E12" s="27"/>
      <c r="F12" s="27"/>
      <c r="G12" s="27"/>
      <c r="H12" s="27"/>
      <c r="I12" s="27"/>
      <c r="J12" s="28"/>
      <c r="K12" s="28"/>
      <c r="L12" s="27">
        <f t="shared" si="1"/>
        <v>0</v>
      </c>
      <c r="M12" s="27">
        <f t="shared" si="2"/>
        <v>0</v>
      </c>
      <c r="N12" s="20">
        <f>Gov*SUM(B57,D57,F57,H57)</f>
        <v>0</v>
      </c>
      <c r="O12" s="20"/>
      <c r="P12" s="30"/>
    </row>
    <row r="13" spans="1:16" x14ac:dyDescent="0.55000000000000004">
      <c r="A13" s="39" t="s">
        <v>24</v>
      </c>
      <c r="B13" s="38"/>
      <c r="C13" s="38"/>
      <c r="D13" s="27"/>
      <c r="E13" s="27"/>
      <c r="F13" s="27">
        <v>8</v>
      </c>
      <c r="G13" s="27">
        <v>12</v>
      </c>
      <c r="H13" s="27"/>
      <c r="I13" s="27"/>
      <c r="J13" s="28"/>
      <c r="K13" s="28"/>
      <c r="L13" s="27">
        <f t="shared" si="1"/>
        <v>1.2</v>
      </c>
      <c r="M13" s="27">
        <f t="shared" si="2"/>
        <v>1.7999999999999998</v>
      </c>
      <c r="N13" s="20">
        <f>Gov*SUM(B57,D57,F57,H57)</f>
        <v>0</v>
      </c>
      <c r="O13" s="20"/>
      <c r="P13" s="30"/>
    </row>
    <row r="14" spans="1:16" x14ac:dyDescent="0.55000000000000004">
      <c r="A14" s="11" t="s">
        <v>25</v>
      </c>
      <c r="B14" s="38"/>
      <c r="C14" s="38"/>
      <c r="D14" s="27"/>
      <c r="E14" s="27"/>
      <c r="F14" s="27">
        <v>3</v>
      </c>
      <c r="G14" s="27">
        <v>6</v>
      </c>
      <c r="H14" s="27"/>
      <c r="I14" s="27"/>
      <c r="J14" s="28"/>
      <c r="K14" s="28"/>
      <c r="L14" s="27">
        <f t="shared" si="1"/>
        <v>0.44999999999999996</v>
      </c>
      <c r="M14" s="27">
        <f t="shared" si="2"/>
        <v>0.89999999999999991</v>
      </c>
      <c r="N14" s="20">
        <f>Gov*SUM(B57,D57,F57,H57)</f>
        <v>0</v>
      </c>
      <c r="O14" s="20"/>
      <c r="P14" s="30"/>
    </row>
    <row r="15" spans="1:16" x14ac:dyDescent="0.55000000000000004">
      <c r="A15" s="11" t="s">
        <v>26</v>
      </c>
      <c r="B15" s="38"/>
      <c r="C15" s="38"/>
      <c r="D15" s="27">
        <v>6</v>
      </c>
      <c r="E15" s="27">
        <v>8</v>
      </c>
      <c r="F15" s="27">
        <f>SUM(B15,D15)/8</f>
        <v>0.75</v>
      </c>
      <c r="G15" s="27">
        <f>SUM(C15,E15)/8</f>
        <v>1</v>
      </c>
      <c r="H15" s="9"/>
      <c r="I15" s="27"/>
      <c r="J15" s="28"/>
      <c r="K15" s="28"/>
      <c r="L15" s="27">
        <f t="shared" si="1"/>
        <v>1.0125</v>
      </c>
      <c r="M15" s="27">
        <f t="shared" si="2"/>
        <v>1.3499999999999999</v>
      </c>
      <c r="N15" s="20">
        <f>Gov*SUM(B57,D57,F57,H57)</f>
        <v>0</v>
      </c>
      <c r="O15" s="20"/>
      <c r="P15" s="30"/>
    </row>
    <row r="16" spans="1:16" x14ac:dyDescent="0.55000000000000004">
      <c r="A16" s="11" t="s">
        <v>27</v>
      </c>
      <c r="B16" s="38"/>
      <c r="C16" s="38"/>
      <c r="D16" s="27"/>
      <c r="E16" s="27"/>
      <c r="F16" s="27">
        <v>2</v>
      </c>
      <c r="G16" s="27">
        <v>4</v>
      </c>
      <c r="H16" s="27">
        <f t="shared" ref="H16:H20" si="3">SUM(B16,D16)*QA</f>
        <v>0</v>
      </c>
      <c r="I16" s="27">
        <f t="shared" ref="I16:I20" si="4">SUM(C16,E16)*QA</f>
        <v>0</v>
      </c>
      <c r="J16" s="28"/>
      <c r="K16" s="28"/>
      <c r="L16" s="27">
        <f t="shared" si="1"/>
        <v>0.3</v>
      </c>
      <c r="M16" s="27">
        <f t="shared" si="2"/>
        <v>0.6</v>
      </c>
      <c r="N16" s="20">
        <f>Gov*SUM(B57,D57,F57,H57)</f>
        <v>0</v>
      </c>
      <c r="O16" s="20"/>
      <c r="P16" s="30"/>
    </row>
    <row r="17" spans="1:16" x14ac:dyDescent="0.55000000000000004">
      <c r="A17" s="11" t="s">
        <v>28</v>
      </c>
      <c r="B17" s="27">
        <v>200</v>
      </c>
      <c r="C17" s="27">
        <v>350</v>
      </c>
      <c r="D17" s="6"/>
      <c r="E17" s="6"/>
      <c r="F17" s="27">
        <v>2</v>
      </c>
      <c r="G17" s="27">
        <v>4</v>
      </c>
      <c r="H17" s="27">
        <f t="shared" si="3"/>
        <v>50</v>
      </c>
      <c r="I17" s="27">
        <f t="shared" si="4"/>
        <v>87.5</v>
      </c>
      <c r="J17" s="28"/>
      <c r="K17" s="28"/>
      <c r="L17" s="27">
        <f t="shared" si="1"/>
        <v>37.799999999999997</v>
      </c>
      <c r="M17" s="27">
        <f t="shared" si="2"/>
        <v>43.725000000000001</v>
      </c>
      <c r="N17" s="20">
        <f>Gov*SUM(B57,D57,F57,H57)</f>
        <v>0</v>
      </c>
      <c r="O17" s="20"/>
      <c r="P17" s="30"/>
    </row>
    <row r="18" spans="1:16" x14ac:dyDescent="0.55000000000000004">
      <c r="A18" s="11" t="s">
        <v>29</v>
      </c>
      <c r="B18" s="38"/>
      <c r="C18" s="38"/>
      <c r="D18" s="27">
        <v>6</v>
      </c>
      <c r="E18" s="27">
        <v>12</v>
      </c>
      <c r="F18" s="27"/>
      <c r="G18" s="27"/>
      <c r="H18" s="27"/>
      <c r="I18" s="27"/>
      <c r="J18" s="28"/>
      <c r="K18" s="28"/>
      <c r="L18" s="27">
        <f t="shared" si="1"/>
        <v>0.89999999999999991</v>
      </c>
      <c r="M18" s="27">
        <f t="shared" si="2"/>
        <v>1.7999999999999998</v>
      </c>
      <c r="N18" s="20">
        <f>Gov*SUM(B57,D57,F57,H57)</f>
        <v>0</v>
      </c>
      <c r="O18" s="20"/>
      <c r="P18" s="30"/>
    </row>
    <row r="19" spans="1:16" x14ac:dyDescent="0.55000000000000004">
      <c r="A19" s="39" t="s">
        <v>30</v>
      </c>
      <c r="B19" s="38"/>
      <c r="C19" s="38"/>
      <c r="D19" s="27">
        <v>8</v>
      </c>
      <c r="E19" s="27">
        <v>12</v>
      </c>
      <c r="F19" s="27">
        <v>4</v>
      </c>
      <c r="G19" s="27">
        <v>16</v>
      </c>
      <c r="H19" s="27"/>
      <c r="I19" s="27"/>
      <c r="J19" s="28"/>
      <c r="K19" s="28"/>
      <c r="L19" s="27">
        <f t="shared" si="1"/>
        <v>1.7999999999999998</v>
      </c>
      <c r="M19" s="27">
        <f t="shared" si="2"/>
        <v>4.2</v>
      </c>
      <c r="N19" s="20">
        <f>Gov*SUM(B57,D57,F57,H57)</f>
        <v>0</v>
      </c>
      <c r="O19" s="20"/>
      <c r="P19" s="30"/>
    </row>
    <row r="20" spans="1:16" x14ac:dyDescent="0.55000000000000004">
      <c r="A20" s="42" t="s">
        <v>31</v>
      </c>
      <c r="B20" s="43"/>
      <c r="C20" s="43"/>
      <c r="D20" s="43"/>
      <c r="E20" s="43"/>
      <c r="F20" s="43"/>
      <c r="G20" s="43"/>
      <c r="H20" s="27">
        <f t="shared" si="3"/>
        <v>0</v>
      </c>
      <c r="I20" s="27">
        <f t="shared" si="4"/>
        <v>0</v>
      </c>
      <c r="J20" s="43"/>
      <c r="K20" s="43"/>
      <c r="L20" s="27">
        <f t="shared" si="1"/>
        <v>0</v>
      </c>
      <c r="M20" s="27">
        <f t="shared" si="2"/>
        <v>0</v>
      </c>
      <c r="N20" s="44">
        <f t="shared" ref="N20:O20" si="5">Gov*SUM(B20,D20,F20,F20,F20,H20,L20)</f>
        <v>0</v>
      </c>
      <c r="O20" s="44">
        <f t="shared" si="5"/>
        <v>0</v>
      </c>
      <c r="P20" s="45"/>
    </row>
    <row r="21" spans="1:16" x14ac:dyDescent="0.55000000000000004">
      <c r="A21" s="39" t="s">
        <v>32</v>
      </c>
      <c r="B21" s="38"/>
      <c r="C21" s="38"/>
      <c r="D21" s="27">
        <v>2</v>
      </c>
      <c r="E21" s="27">
        <v>4</v>
      </c>
      <c r="F21" s="27">
        <f t="shared" ref="F21:G39" si="6">SUM(B21,D21)/8</f>
        <v>0.25</v>
      </c>
      <c r="G21" s="27">
        <f>SUM(C21,E21)/8</f>
        <v>0.5</v>
      </c>
      <c r="H21" s="27">
        <f t="shared" ref="H21:I39" si="7">SUM(B21,D21)*QA</f>
        <v>0.5</v>
      </c>
      <c r="I21" s="27">
        <f t="shared" si="7"/>
        <v>1</v>
      </c>
      <c r="J21" s="28"/>
      <c r="K21" s="28"/>
      <c r="L21" s="27">
        <f t="shared" ref="L21:L68" si="8">Producer*SUM(B21,D21,F21,H21)</f>
        <v>0.41249999999999998</v>
      </c>
      <c r="M21" s="27">
        <f t="shared" ref="M21:M64" si="9">Producer*SUM(B21,E21,G21,I21)</f>
        <v>0.82499999999999996</v>
      </c>
      <c r="N21" s="20">
        <f>Gov*SUM(B57,D57,F57,H57)</f>
        <v>0</v>
      </c>
      <c r="O21" s="20"/>
      <c r="P21" s="30"/>
    </row>
    <row r="22" spans="1:16" x14ac:dyDescent="0.55000000000000004">
      <c r="A22" s="39" t="s">
        <v>33</v>
      </c>
      <c r="B22" s="38"/>
      <c r="C22" s="38"/>
      <c r="D22" s="27">
        <v>12</v>
      </c>
      <c r="E22" s="27">
        <v>20</v>
      </c>
      <c r="F22" s="27">
        <f t="shared" si="6"/>
        <v>1.5</v>
      </c>
      <c r="G22" s="27">
        <f t="shared" si="6"/>
        <v>2.5</v>
      </c>
      <c r="H22" s="27">
        <f t="shared" si="7"/>
        <v>3</v>
      </c>
      <c r="I22" s="27">
        <f t="shared" si="7"/>
        <v>5</v>
      </c>
      <c r="J22" s="28"/>
      <c r="K22" s="28"/>
      <c r="L22" s="27">
        <f t="shared" si="8"/>
        <v>2.4750000000000001</v>
      </c>
      <c r="M22" s="27">
        <f t="shared" si="9"/>
        <v>4.125</v>
      </c>
      <c r="N22" s="20"/>
      <c r="O22" s="20"/>
      <c r="P22" s="30"/>
    </row>
    <row r="23" spans="1:16" x14ac:dyDescent="0.55000000000000004">
      <c r="A23" s="39" t="s">
        <v>34</v>
      </c>
      <c r="B23" s="38"/>
      <c r="C23" s="38"/>
      <c r="D23" s="27">
        <v>16</v>
      </c>
      <c r="E23" s="27">
        <v>20</v>
      </c>
      <c r="F23" s="27">
        <f t="shared" si="6"/>
        <v>2</v>
      </c>
      <c r="G23" s="27">
        <f t="shared" si="6"/>
        <v>2.5</v>
      </c>
      <c r="H23" s="27">
        <f t="shared" si="7"/>
        <v>4</v>
      </c>
      <c r="I23" s="27">
        <f t="shared" si="7"/>
        <v>5</v>
      </c>
      <c r="J23" s="28"/>
      <c r="K23" s="28"/>
      <c r="L23" s="27">
        <f t="shared" si="8"/>
        <v>3.3</v>
      </c>
      <c r="M23" s="27">
        <f t="shared" si="9"/>
        <v>4.125</v>
      </c>
      <c r="N23" s="20"/>
      <c r="O23" s="20"/>
      <c r="P23" s="30"/>
    </row>
    <row r="24" spans="1:16" x14ac:dyDescent="0.55000000000000004">
      <c r="A24" s="40"/>
      <c r="B24" s="38"/>
      <c r="C24" s="38"/>
      <c r="D24" s="27"/>
      <c r="E24" s="27"/>
      <c r="F24" s="27">
        <f t="shared" si="6"/>
        <v>0</v>
      </c>
      <c r="G24" s="27">
        <f t="shared" si="6"/>
        <v>0</v>
      </c>
      <c r="H24" s="27">
        <f t="shared" si="7"/>
        <v>0</v>
      </c>
      <c r="I24" s="27">
        <f t="shared" si="7"/>
        <v>0</v>
      </c>
      <c r="J24" s="27"/>
      <c r="K24" s="27"/>
      <c r="L24" s="27">
        <f t="shared" si="8"/>
        <v>0</v>
      </c>
      <c r="M24" s="27">
        <f t="shared" si="9"/>
        <v>0</v>
      </c>
      <c r="N24" s="20">
        <f>Gov*SUM(B58,D58,F58,H58)</f>
        <v>0</v>
      </c>
      <c r="O24" s="20"/>
      <c r="P24" s="30"/>
    </row>
    <row r="25" spans="1:16" x14ac:dyDescent="0.55000000000000004">
      <c r="A25" s="42" t="s">
        <v>35</v>
      </c>
      <c r="B25" s="38"/>
      <c r="C25" s="38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0">
        <f>Gov*SUM(B59,D59,F59,H59)</f>
        <v>0</v>
      </c>
      <c r="O25" s="20"/>
      <c r="P25" s="30"/>
    </row>
    <row r="26" spans="1:16" x14ac:dyDescent="0.55000000000000004">
      <c r="A26" s="16"/>
      <c r="B26" s="38"/>
      <c r="C26" s="38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0">
        <f>Gov*SUM(B71,D71,F71,H71)</f>
        <v>0</v>
      </c>
      <c r="O26" s="20"/>
      <c r="P26" s="30"/>
    </row>
    <row r="27" spans="1:16" x14ac:dyDescent="0.55000000000000004">
      <c r="A27" s="39" t="s">
        <v>36</v>
      </c>
      <c r="B27" s="38"/>
      <c r="C27" s="38"/>
      <c r="D27" s="27"/>
      <c r="E27" s="27"/>
      <c r="F27" s="27">
        <v>6</v>
      </c>
      <c r="G27" s="27">
        <v>10</v>
      </c>
      <c r="H27" s="27">
        <f t="shared" si="7"/>
        <v>0</v>
      </c>
      <c r="I27" s="27">
        <f t="shared" si="7"/>
        <v>0</v>
      </c>
      <c r="J27" s="28"/>
      <c r="K27" s="28"/>
      <c r="L27" s="27">
        <f t="shared" si="8"/>
        <v>0.89999999999999991</v>
      </c>
      <c r="M27" s="27">
        <f t="shared" si="9"/>
        <v>1.5</v>
      </c>
      <c r="N27" s="20">
        <f>Gov*SUM(B64,D64,F64,H64)</f>
        <v>0</v>
      </c>
      <c r="O27" s="20"/>
      <c r="P27" s="30"/>
    </row>
    <row r="28" spans="1:16" x14ac:dyDescent="0.55000000000000004">
      <c r="A28" s="39" t="s">
        <v>37</v>
      </c>
      <c r="B28" s="38"/>
      <c r="C28" s="38"/>
      <c r="D28" s="27">
        <v>6</v>
      </c>
      <c r="E28" s="27">
        <v>10</v>
      </c>
      <c r="F28" s="27">
        <f t="shared" si="6"/>
        <v>0.75</v>
      </c>
      <c r="G28" s="27">
        <f t="shared" si="6"/>
        <v>1.25</v>
      </c>
      <c r="H28" s="27">
        <f t="shared" si="7"/>
        <v>1.5</v>
      </c>
      <c r="I28" s="27">
        <f t="shared" si="7"/>
        <v>2.5</v>
      </c>
      <c r="J28" s="27"/>
      <c r="K28" s="27"/>
      <c r="L28" s="27">
        <f t="shared" si="8"/>
        <v>1.2375</v>
      </c>
      <c r="M28" s="27">
        <f t="shared" si="9"/>
        <v>2.0625</v>
      </c>
      <c r="N28" s="20">
        <f>Gov*SUM(B59,D59,F59,H59)</f>
        <v>0</v>
      </c>
      <c r="O28" s="20"/>
      <c r="P28" s="30"/>
    </row>
    <row r="29" spans="1:16" x14ac:dyDescent="0.55000000000000004">
      <c r="A29" s="39" t="s">
        <v>38</v>
      </c>
      <c r="B29" s="38"/>
      <c r="C29" s="38"/>
      <c r="D29" s="27">
        <v>10</v>
      </c>
      <c r="E29" s="27">
        <v>16</v>
      </c>
      <c r="F29" s="27">
        <f t="shared" si="6"/>
        <v>1.25</v>
      </c>
      <c r="G29" s="27">
        <f t="shared" si="6"/>
        <v>2</v>
      </c>
      <c r="H29" s="27">
        <f t="shared" si="7"/>
        <v>2.5</v>
      </c>
      <c r="I29" s="27">
        <f t="shared" si="7"/>
        <v>4</v>
      </c>
      <c r="J29" s="27"/>
      <c r="K29" s="27"/>
      <c r="L29" s="27">
        <f t="shared" si="8"/>
        <v>2.0625</v>
      </c>
      <c r="M29" s="27">
        <f t="shared" si="9"/>
        <v>3.3</v>
      </c>
      <c r="N29" s="20">
        <f>Gov*SUM(B59,D59,F59,H59)</f>
        <v>0</v>
      </c>
      <c r="O29" s="20"/>
      <c r="P29" s="30"/>
    </row>
    <row r="30" spans="1:16" x14ac:dyDescent="0.55000000000000004">
      <c r="A30" s="39" t="s">
        <v>39</v>
      </c>
      <c r="B30" s="38"/>
      <c r="C30" s="38"/>
      <c r="D30" s="27"/>
      <c r="E30" s="27"/>
      <c r="F30" s="27">
        <f t="shared" si="6"/>
        <v>0</v>
      </c>
      <c r="G30" s="27">
        <f t="shared" si="6"/>
        <v>0</v>
      </c>
      <c r="H30" s="27">
        <f t="shared" si="7"/>
        <v>0</v>
      </c>
      <c r="I30" s="27">
        <f t="shared" si="7"/>
        <v>0</v>
      </c>
      <c r="J30" s="27"/>
      <c r="K30" s="27"/>
      <c r="L30" s="27">
        <f t="shared" si="8"/>
        <v>0</v>
      </c>
      <c r="M30" s="27">
        <f t="shared" si="9"/>
        <v>0</v>
      </c>
      <c r="N30" s="20">
        <f>Gov*SUM(B59,D59,F59,H59)</f>
        <v>0</v>
      </c>
      <c r="O30" s="20"/>
      <c r="P30" s="30"/>
    </row>
    <row r="31" spans="1:16" x14ac:dyDescent="0.55000000000000004">
      <c r="A31" s="39" t="s">
        <v>40</v>
      </c>
      <c r="B31" s="27">
        <v>8</v>
      </c>
      <c r="C31" s="27">
        <v>12</v>
      </c>
      <c r="D31" s="6"/>
      <c r="E31" s="6"/>
      <c r="F31" s="27">
        <f t="shared" si="6"/>
        <v>1</v>
      </c>
      <c r="G31" s="27">
        <f t="shared" si="6"/>
        <v>1.5</v>
      </c>
      <c r="H31" s="27">
        <f t="shared" si="7"/>
        <v>2</v>
      </c>
      <c r="I31" s="27">
        <f t="shared" si="7"/>
        <v>3</v>
      </c>
      <c r="J31" s="27"/>
      <c r="K31" s="27"/>
      <c r="L31" s="27">
        <f t="shared" si="8"/>
        <v>1.65</v>
      </c>
      <c r="M31" s="27">
        <f t="shared" si="9"/>
        <v>1.875</v>
      </c>
      <c r="N31" s="20">
        <f>Gov*SUM(B56,D56,F56,H56)</f>
        <v>0</v>
      </c>
      <c r="O31" s="20"/>
      <c r="P31" s="30"/>
    </row>
    <row r="32" spans="1:16" x14ac:dyDescent="0.55000000000000004">
      <c r="A32" s="39" t="s">
        <v>41</v>
      </c>
      <c r="B32" s="27">
        <v>12</v>
      </c>
      <c r="C32" s="27">
        <v>20</v>
      </c>
      <c r="D32" s="6"/>
      <c r="E32" s="6"/>
      <c r="F32" s="27">
        <f t="shared" si="6"/>
        <v>1.5</v>
      </c>
      <c r="G32" s="27">
        <f t="shared" si="6"/>
        <v>2.5</v>
      </c>
      <c r="H32" s="27">
        <f t="shared" si="7"/>
        <v>3</v>
      </c>
      <c r="I32" s="27">
        <f t="shared" si="7"/>
        <v>5</v>
      </c>
      <c r="J32" s="27"/>
      <c r="K32" s="27"/>
      <c r="L32" s="27">
        <f t="shared" si="8"/>
        <v>2.4750000000000001</v>
      </c>
      <c r="M32" s="27">
        <f t="shared" si="9"/>
        <v>2.9249999999999998</v>
      </c>
      <c r="N32" s="20">
        <f>Gov*SUM(B57,D57,F57,H57)</f>
        <v>0</v>
      </c>
      <c r="O32" s="20"/>
      <c r="P32" s="30"/>
    </row>
    <row r="33" spans="1:16" x14ac:dyDescent="0.55000000000000004">
      <c r="A33" s="41" t="s">
        <v>42</v>
      </c>
      <c r="B33" s="38"/>
      <c r="C33" s="38"/>
      <c r="D33" s="27"/>
      <c r="E33" s="27"/>
      <c r="F33" s="27">
        <f t="shared" si="6"/>
        <v>0</v>
      </c>
      <c r="G33" s="27">
        <f t="shared" si="6"/>
        <v>0</v>
      </c>
      <c r="H33" s="27">
        <f t="shared" si="7"/>
        <v>0</v>
      </c>
      <c r="I33" s="27">
        <f t="shared" si="7"/>
        <v>0</v>
      </c>
      <c r="J33" s="27"/>
      <c r="K33" s="27"/>
      <c r="L33" s="27">
        <f t="shared" si="8"/>
        <v>0</v>
      </c>
      <c r="M33" s="27">
        <f t="shared" si="9"/>
        <v>0</v>
      </c>
      <c r="N33" s="20">
        <f>Gov*SUM(B58,D58,F58,H58)</f>
        <v>0</v>
      </c>
      <c r="O33" s="20"/>
      <c r="P33" s="30"/>
    </row>
    <row r="34" spans="1:16" x14ac:dyDescent="0.55000000000000004">
      <c r="A34" s="39" t="s">
        <v>43</v>
      </c>
      <c r="B34" s="38"/>
      <c r="C34" s="38"/>
      <c r="D34" s="27">
        <v>2</v>
      </c>
      <c r="E34" s="27">
        <v>4</v>
      </c>
      <c r="F34" s="27">
        <f t="shared" si="6"/>
        <v>0.25</v>
      </c>
      <c r="G34" s="27">
        <f t="shared" si="6"/>
        <v>0.5</v>
      </c>
      <c r="H34" s="27">
        <f t="shared" si="7"/>
        <v>0.5</v>
      </c>
      <c r="I34" s="27">
        <f t="shared" si="7"/>
        <v>1</v>
      </c>
      <c r="J34" s="27"/>
      <c r="K34" s="27"/>
      <c r="L34" s="27">
        <f t="shared" si="8"/>
        <v>0.41249999999999998</v>
      </c>
      <c r="M34" s="27">
        <f t="shared" si="9"/>
        <v>0.82499999999999996</v>
      </c>
      <c r="N34" s="20">
        <f>Gov*SUM(B59,D59,F59,H59)</f>
        <v>0</v>
      </c>
      <c r="O34" s="20"/>
      <c r="P34" s="30"/>
    </row>
    <row r="35" spans="1:16" x14ac:dyDescent="0.55000000000000004">
      <c r="A35" s="39" t="s">
        <v>44</v>
      </c>
      <c r="B35" s="38"/>
      <c r="C35" s="38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0"/>
      <c r="O35" s="20"/>
      <c r="P35" s="30"/>
    </row>
    <row r="36" spans="1:16" x14ac:dyDescent="0.55000000000000004">
      <c r="A36" s="11" t="s">
        <v>45</v>
      </c>
      <c r="B36" s="38"/>
      <c r="C36" s="38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0"/>
      <c r="O36" s="20"/>
      <c r="P36" s="30"/>
    </row>
    <row r="37" spans="1:16" x14ac:dyDescent="0.55000000000000004">
      <c r="A37" s="11" t="s">
        <v>46</v>
      </c>
      <c r="B37" s="27"/>
      <c r="C37" s="27"/>
      <c r="D37" s="27"/>
      <c r="E37" s="27"/>
      <c r="F37" s="27">
        <f t="shared" ref="F37:G38" si="10">SUM(B37,D37)/8</f>
        <v>0</v>
      </c>
      <c r="G37" s="27">
        <f t="shared" si="10"/>
        <v>0</v>
      </c>
      <c r="H37" s="27">
        <f t="shared" ref="H37:I38" si="11">SUM(B37,D37)*QA</f>
        <v>0</v>
      </c>
      <c r="I37" s="27">
        <f t="shared" si="11"/>
        <v>0</v>
      </c>
      <c r="J37" s="27"/>
      <c r="K37" s="27"/>
      <c r="L37" s="27">
        <f t="shared" ref="L37:L38" si="12">Producer*SUM(B37,D37,F37,H37)</f>
        <v>0</v>
      </c>
      <c r="M37" s="27">
        <f t="shared" ref="M37:M38" si="13">Producer*SUM(B37,E37,G37,I37)</f>
        <v>0</v>
      </c>
      <c r="N37" s="20">
        <f>Gov*SUM(B80,D80,F80,H80)</f>
        <v>0</v>
      </c>
      <c r="O37" s="20"/>
      <c r="P37" s="30"/>
    </row>
    <row r="38" spans="1:16" x14ac:dyDescent="0.55000000000000004">
      <c r="A38" s="11" t="s">
        <v>47</v>
      </c>
      <c r="B38" s="27">
        <v>6</v>
      </c>
      <c r="C38" s="27">
        <v>10</v>
      </c>
      <c r="D38" s="6"/>
      <c r="E38" s="6"/>
      <c r="F38" s="27">
        <f t="shared" si="10"/>
        <v>0.75</v>
      </c>
      <c r="G38" s="27">
        <f t="shared" si="10"/>
        <v>1.25</v>
      </c>
      <c r="H38" s="27">
        <f t="shared" si="11"/>
        <v>1.5</v>
      </c>
      <c r="I38" s="27">
        <f t="shared" si="11"/>
        <v>2.5</v>
      </c>
      <c r="J38" s="27"/>
      <c r="K38" s="27"/>
      <c r="L38" s="27">
        <f t="shared" si="12"/>
        <v>1.2375</v>
      </c>
      <c r="M38" s="27">
        <f t="shared" si="13"/>
        <v>1.4624999999999999</v>
      </c>
      <c r="N38" s="20">
        <f>Gov*SUM(B81,D81,F81,H81)</f>
        <v>0</v>
      </c>
      <c r="O38" s="20"/>
      <c r="P38" s="30"/>
    </row>
    <row r="39" spans="1:16" x14ac:dyDescent="0.55000000000000004">
      <c r="A39" s="11" t="s">
        <v>48</v>
      </c>
      <c r="B39" s="38"/>
      <c r="C39" s="38"/>
      <c r="D39" s="27"/>
      <c r="E39" s="27"/>
      <c r="F39" s="27">
        <f t="shared" si="6"/>
        <v>0</v>
      </c>
      <c r="G39" s="27">
        <f t="shared" si="6"/>
        <v>0</v>
      </c>
      <c r="H39" s="27">
        <f t="shared" si="7"/>
        <v>0</v>
      </c>
      <c r="I39" s="27">
        <f t="shared" si="7"/>
        <v>0</v>
      </c>
      <c r="J39" s="27"/>
      <c r="K39" s="27"/>
      <c r="L39" s="27">
        <f t="shared" si="8"/>
        <v>0</v>
      </c>
      <c r="M39" s="27">
        <f t="shared" si="9"/>
        <v>0</v>
      </c>
      <c r="N39" s="20">
        <f>Gov*SUM(B82,D82,F82,H82)</f>
        <v>0</v>
      </c>
      <c r="O39" s="20"/>
      <c r="P39" s="30"/>
    </row>
    <row r="40" spans="1:16" x14ac:dyDescent="0.55000000000000004">
      <c r="A40" s="11" t="s">
        <v>49</v>
      </c>
      <c r="B40" s="38"/>
      <c r="C40" s="38"/>
      <c r="D40" s="27">
        <v>10</v>
      </c>
      <c r="E40" s="27">
        <v>16</v>
      </c>
      <c r="F40" s="27">
        <f t="shared" ref="F40:G47" si="14">SUM(B40,D40)/8</f>
        <v>1.25</v>
      </c>
      <c r="G40" s="27">
        <f t="shared" si="14"/>
        <v>2</v>
      </c>
      <c r="H40" s="27">
        <f t="shared" ref="H40:I47" si="15">SUM(B40,D40)*QA</f>
        <v>2.5</v>
      </c>
      <c r="I40" s="27">
        <f t="shared" si="15"/>
        <v>4</v>
      </c>
      <c r="J40" s="27"/>
      <c r="K40" s="27"/>
      <c r="L40" s="27">
        <f t="shared" si="8"/>
        <v>2.0625</v>
      </c>
      <c r="M40" s="27">
        <f t="shared" si="9"/>
        <v>3.3</v>
      </c>
      <c r="N40" s="20">
        <f>Gov*SUM(B82,D82,F82,H82)</f>
        <v>0</v>
      </c>
      <c r="O40" s="20"/>
      <c r="P40" s="30"/>
    </row>
    <row r="41" spans="1:16" x14ac:dyDescent="0.55000000000000004">
      <c r="A41" s="11" t="s">
        <v>50</v>
      </c>
      <c r="B41" s="38"/>
      <c r="C41" s="38"/>
      <c r="D41" s="27">
        <v>1</v>
      </c>
      <c r="E41" s="27">
        <v>2</v>
      </c>
      <c r="F41" s="27">
        <f t="shared" si="14"/>
        <v>0.125</v>
      </c>
      <c r="G41" s="27">
        <f t="shared" si="14"/>
        <v>0.25</v>
      </c>
      <c r="H41" s="27">
        <f t="shared" si="15"/>
        <v>0.25</v>
      </c>
      <c r="I41" s="27">
        <f t="shared" si="15"/>
        <v>0.5</v>
      </c>
      <c r="J41" s="27"/>
      <c r="K41" s="27"/>
      <c r="L41" s="27">
        <f t="shared" si="8"/>
        <v>0.20624999999999999</v>
      </c>
      <c r="M41" s="27">
        <f t="shared" si="9"/>
        <v>0.41249999999999998</v>
      </c>
      <c r="N41" s="20">
        <f>Gov*SUM(B82,D82,F82,H82)</f>
        <v>0</v>
      </c>
      <c r="O41" s="20"/>
      <c r="P41" s="30"/>
    </row>
    <row r="42" spans="1:16" x14ac:dyDescent="0.55000000000000004">
      <c r="A42" s="41" t="s">
        <v>51</v>
      </c>
      <c r="B42" s="38"/>
      <c r="C42" s="38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0">
        <f>Gov*SUM(B82,D82,F82,H82)</f>
        <v>0</v>
      </c>
      <c r="O42" s="20"/>
      <c r="P42" s="30"/>
    </row>
    <row r="43" spans="1:16" x14ac:dyDescent="0.55000000000000004">
      <c r="A43" s="11" t="s">
        <v>100</v>
      </c>
      <c r="B43" s="38">
        <v>40</v>
      </c>
      <c r="C43" s="38">
        <v>56</v>
      </c>
      <c r="D43" s="27"/>
      <c r="E43" s="27"/>
      <c r="F43" s="27">
        <f>SUM(B43,D43)/8</f>
        <v>5</v>
      </c>
      <c r="G43" s="27">
        <f>SUM(C43,E43)/8</f>
        <v>7</v>
      </c>
      <c r="H43" s="27">
        <f>SUM(B43,D43)*QA</f>
        <v>10</v>
      </c>
      <c r="I43" s="27">
        <f>SUM(C43,E43)*QA</f>
        <v>14</v>
      </c>
      <c r="J43" s="27"/>
      <c r="K43" s="27"/>
      <c r="L43" s="27">
        <f>Producer*SUM(B43,D43,F43,H43)</f>
        <v>8.25</v>
      </c>
      <c r="M43" s="27">
        <f>Producer*SUM(B43,E43,G43,I43)</f>
        <v>9.15</v>
      </c>
      <c r="N43" s="20">
        <f>Gov*SUM(B82,D82,F82,H82)</f>
        <v>0</v>
      </c>
      <c r="O43" s="20"/>
      <c r="P43" s="30"/>
    </row>
    <row r="44" spans="1:16" x14ac:dyDescent="0.55000000000000004">
      <c r="A44" s="11" t="s">
        <v>53</v>
      </c>
      <c r="B44" s="38">
        <v>12</v>
      </c>
      <c r="C44" s="38">
        <v>24</v>
      </c>
      <c r="D44" s="27">
        <v>2</v>
      </c>
      <c r="E44" s="27">
        <v>4</v>
      </c>
      <c r="F44" s="27">
        <f>SUM(B44,D44)/8</f>
        <v>1.75</v>
      </c>
      <c r="G44" s="27">
        <f>SUM(C44,E44)/8</f>
        <v>3.5</v>
      </c>
      <c r="H44" s="27">
        <f>SUM(B44,D44)*QA</f>
        <v>3.5</v>
      </c>
      <c r="I44" s="27">
        <f>SUM(C44,E44)*QA</f>
        <v>7</v>
      </c>
      <c r="J44" s="27"/>
      <c r="K44" s="27"/>
      <c r="L44" s="27">
        <f>Producer*SUM(B44,D44,F44,H44)</f>
        <v>2.8874999999999997</v>
      </c>
      <c r="M44" s="27">
        <f>Producer*SUM(B44,E44,G44,I44)</f>
        <v>3.9749999999999996</v>
      </c>
      <c r="N44" s="20">
        <f>Gov*SUM(B82,D82,F82,H82)</f>
        <v>0</v>
      </c>
      <c r="O44" s="20"/>
      <c r="P44" s="30"/>
    </row>
    <row r="45" spans="1:16" x14ac:dyDescent="0.55000000000000004">
      <c r="A45" s="41" t="s">
        <v>54</v>
      </c>
      <c r="B45" s="38"/>
      <c r="C45" s="38"/>
      <c r="D45" s="27"/>
      <c r="E45" s="27"/>
      <c r="F45" s="27">
        <f t="shared" si="14"/>
        <v>0</v>
      </c>
      <c r="G45" s="27">
        <f t="shared" si="14"/>
        <v>0</v>
      </c>
      <c r="H45" s="27">
        <f t="shared" si="15"/>
        <v>0</v>
      </c>
      <c r="I45" s="27">
        <f t="shared" si="15"/>
        <v>0</v>
      </c>
      <c r="J45" s="27"/>
      <c r="K45" s="27"/>
      <c r="L45" s="27">
        <f t="shared" si="8"/>
        <v>0</v>
      </c>
      <c r="M45" s="27">
        <f t="shared" si="9"/>
        <v>0</v>
      </c>
      <c r="N45" s="20">
        <f>Gov*SUM(B82,D82,F82,H82)</f>
        <v>0</v>
      </c>
      <c r="O45" s="20"/>
      <c r="P45" s="30"/>
    </row>
    <row r="46" spans="1:16" x14ac:dyDescent="0.55000000000000004">
      <c r="A46" s="11"/>
      <c r="B46" s="27"/>
      <c r="C46" s="27"/>
      <c r="D46" s="27"/>
      <c r="E46" s="27"/>
      <c r="F46" s="27">
        <f t="shared" si="14"/>
        <v>0</v>
      </c>
      <c r="G46" s="27">
        <f t="shared" si="14"/>
        <v>0</v>
      </c>
      <c r="H46" s="27">
        <f t="shared" si="15"/>
        <v>0</v>
      </c>
      <c r="I46" s="27">
        <f t="shared" si="15"/>
        <v>0</v>
      </c>
      <c r="J46" s="27"/>
      <c r="K46" s="27"/>
      <c r="L46" s="27">
        <f t="shared" si="8"/>
        <v>0</v>
      </c>
      <c r="M46" s="27">
        <f t="shared" si="9"/>
        <v>0</v>
      </c>
      <c r="N46" s="20">
        <f>Gov*SUM(B46,D46,F46,F46,F46,H46,L46)</f>
        <v>0</v>
      </c>
      <c r="O46" s="20">
        <f t="shared" ref="O46:O47" si="16">Gov*SUM(C46,E46,G46,G46,G46,I46,M46)</f>
        <v>0</v>
      </c>
      <c r="P46" s="33"/>
    </row>
    <row r="47" spans="1:16" x14ac:dyDescent="0.55000000000000004">
      <c r="A47" s="11" t="s">
        <v>55</v>
      </c>
      <c r="B47" s="27"/>
      <c r="C47" s="27"/>
      <c r="D47" s="6"/>
      <c r="E47" s="6"/>
      <c r="F47" s="27">
        <f t="shared" si="14"/>
        <v>0</v>
      </c>
      <c r="G47" s="27">
        <f t="shared" si="14"/>
        <v>0</v>
      </c>
      <c r="H47" s="27">
        <f t="shared" si="15"/>
        <v>0</v>
      </c>
      <c r="I47" s="27">
        <f t="shared" si="15"/>
        <v>0</v>
      </c>
      <c r="J47" s="27"/>
      <c r="K47" s="27"/>
      <c r="L47" s="27">
        <f t="shared" si="8"/>
        <v>0</v>
      </c>
      <c r="M47" s="27">
        <f t="shared" si="9"/>
        <v>0</v>
      </c>
      <c r="N47" s="20">
        <f>Gov*SUM(B47,D47,F47,F47,F47,H47,L47)</f>
        <v>0</v>
      </c>
      <c r="O47" s="20">
        <f t="shared" si="16"/>
        <v>0</v>
      </c>
      <c r="P47" s="33"/>
    </row>
    <row r="48" spans="1:16" x14ac:dyDescent="0.55000000000000004">
      <c r="A48" s="11" t="s">
        <v>56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0"/>
      <c r="O48" s="20"/>
      <c r="P48" s="33"/>
    </row>
    <row r="49" spans="1:16" x14ac:dyDescent="0.55000000000000004">
      <c r="A49" s="11" t="s">
        <v>101</v>
      </c>
      <c r="B49" s="38"/>
      <c r="C49" s="38"/>
      <c r="D49" s="27"/>
      <c r="E49" s="27"/>
      <c r="F49" s="27"/>
      <c r="G49" s="27"/>
      <c r="H49" s="27">
        <v>8</v>
      </c>
      <c r="I49" s="27">
        <v>16</v>
      </c>
      <c r="J49" s="27"/>
      <c r="K49" s="27"/>
      <c r="L49" s="27"/>
      <c r="M49" s="27"/>
      <c r="N49" s="20">
        <f>Gov*SUM(B95,D95,F95,H95)</f>
        <v>0</v>
      </c>
      <c r="O49" s="20"/>
      <c r="P49" s="30"/>
    </row>
    <row r="50" spans="1:16" x14ac:dyDescent="0.55000000000000004">
      <c r="A50" s="11" t="s">
        <v>102</v>
      </c>
      <c r="B50" s="27"/>
      <c r="C50" s="27"/>
      <c r="D50" s="27"/>
      <c r="E50" s="27"/>
      <c r="F50" s="27">
        <v>8</v>
      </c>
      <c r="G50" s="27">
        <v>16</v>
      </c>
      <c r="H50" s="27">
        <f t="shared" ref="H50:I52" si="17">SUM(B50,D50)*QA</f>
        <v>0</v>
      </c>
      <c r="I50" s="27">
        <f t="shared" si="17"/>
        <v>0</v>
      </c>
      <c r="J50" s="28"/>
      <c r="K50" s="28"/>
      <c r="L50" s="27">
        <f t="shared" ref="L50:L52" si="18">Producer*SUM(B50,D50,F50,H50)</f>
        <v>1.2</v>
      </c>
      <c r="M50" s="27">
        <f t="shared" ref="M50:M52" si="19">Producer*SUM(B50,E50,G50,I50)</f>
        <v>2.4</v>
      </c>
      <c r="N50" s="20">
        <f t="shared" ref="N50:O65" si="20">Gov*SUM(B50,D50,F50,F50,F50,H50,L50)</f>
        <v>0</v>
      </c>
      <c r="O50" s="20">
        <f t="shared" si="20"/>
        <v>0</v>
      </c>
      <c r="P50" s="17"/>
    </row>
    <row r="51" spans="1:16" x14ac:dyDescent="0.55000000000000004">
      <c r="A51" s="7" t="s">
        <v>57</v>
      </c>
      <c r="B51" s="27"/>
      <c r="C51" s="27"/>
      <c r="D51" s="27"/>
      <c r="E51" s="27"/>
      <c r="F51" s="27"/>
      <c r="G51" s="27"/>
      <c r="H51" s="27">
        <f t="shared" si="17"/>
        <v>0</v>
      </c>
      <c r="I51" s="27">
        <f t="shared" si="17"/>
        <v>0</v>
      </c>
      <c r="J51" s="28"/>
      <c r="K51" s="28"/>
      <c r="L51" s="27">
        <f t="shared" si="18"/>
        <v>0</v>
      </c>
      <c r="M51" s="27">
        <f t="shared" si="19"/>
        <v>0</v>
      </c>
      <c r="N51" s="20">
        <f t="shared" si="20"/>
        <v>0</v>
      </c>
      <c r="O51" s="20">
        <f t="shared" si="20"/>
        <v>0</v>
      </c>
      <c r="P51" s="17"/>
    </row>
    <row r="52" spans="1:16" x14ac:dyDescent="0.55000000000000004">
      <c r="A52" s="7" t="s">
        <v>58</v>
      </c>
      <c r="B52" s="27"/>
      <c r="C52" s="27"/>
      <c r="D52" s="27"/>
      <c r="E52" s="27"/>
      <c r="F52" s="27">
        <f>SUM(B52,D52)/8</f>
        <v>0</v>
      </c>
      <c r="G52" s="27">
        <f t="shared" ref="G52" si="21">SUM(C52,E52)/8</f>
        <v>0</v>
      </c>
      <c r="H52" s="27">
        <f t="shared" si="17"/>
        <v>0</v>
      </c>
      <c r="I52" s="27">
        <f t="shared" si="17"/>
        <v>0</v>
      </c>
      <c r="J52" s="28"/>
      <c r="K52" s="28"/>
      <c r="L52" s="27">
        <f t="shared" si="18"/>
        <v>0</v>
      </c>
      <c r="M52" s="27">
        <f t="shared" si="19"/>
        <v>0</v>
      </c>
      <c r="N52" s="20">
        <f t="shared" si="20"/>
        <v>0</v>
      </c>
      <c r="O52" s="20">
        <f t="shared" si="20"/>
        <v>0</v>
      </c>
      <c r="P52" s="10"/>
    </row>
    <row r="53" spans="1:16" x14ac:dyDescent="0.55000000000000004">
      <c r="A53" s="11" t="s">
        <v>59</v>
      </c>
      <c r="B53" s="27"/>
      <c r="C53" s="27"/>
      <c r="D53" s="27"/>
      <c r="E53" s="27"/>
      <c r="F53" s="27"/>
      <c r="G53" s="27"/>
      <c r="H53" s="27"/>
      <c r="I53" s="27"/>
      <c r="J53" s="28"/>
      <c r="K53" s="28"/>
      <c r="L53" s="27"/>
      <c r="M53" s="27"/>
      <c r="N53" s="20"/>
      <c r="O53" s="20"/>
      <c r="P53" s="37"/>
    </row>
    <row r="54" spans="1:16" x14ac:dyDescent="0.55000000000000004">
      <c r="A54" s="11" t="s">
        <v>60</v>
      </c>
      <c r="B54" s="27"/>
      <c r="C54" s="27"/>
      <c r="D54" s="27"/>
      <c r="E54" s="27"/>
      <c r="F54" s="27"/>
      <c r="G54" s="27"/>
      <c r="H54" s="27"/>
      <c r="I54" s="27"/>
      <c r="J54" s="28"/>
      <c r="K54" s="28"/>
      <c r="L54" s="27"/>
      <c r="M54" s="27"/>
      <c r="N54" s="20"/>
      <c r="O54" s="20"/>
      <c r="P54" s="17"/>
    </row>
    <row r="55" spans="1:16" x14ac:dyDescent="0.55000000000000004">
      <c r="A55" s="7" t="s">
        <v>61</v>
      </c>
      <c r="B55" s="27"/>
      <c r="C55" s="27"/>
      <c r="D55" s="27"/>
      <c r="E55" s="27"/>
      <c r="F55" s="27"/>
      <c r="G55" s="27"/>
      <c r="H55" s="27"/>
      <c r="I55" s="27"/>
      <c r="J55" s="28"/>
      <c r="K55" s="28"/>
      <c r="L55" s="27"/>
      <c r="M55" s="27"/>
      <c r="N55" s="20"/>
      <c r="O55" s="20"/>
      <c r="P55" s="32"/>
    </row>
    <row r="56" spans="1:16" x14ac:dyDescent="0.55000000000000004">
      <c r="A56" s="7" t="s">
        <v>62</v>
      </c>
      <c r="B56" s="27">
        <v>0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8</v>
      </c>
      <c r="I56" s="27">
        <v>16</v>
      </c>
      <c r="J56" s="27"/>
      <c r="K56" s="27"/>
      <c r="L56" s="27">
        <f t="shared" si="8"/>
        <v>1.2</v>
      </c>
      <c r="M56" s="27">
        <f t="shared" si="9"/>
        <v>2.4</v>
      </c>
      <c r="N56" s="20">
        <f t="shared" si="20"/>
        <v>0</v>
      </c>
      <c r="O56" s="20">
        <f t="shared" si="20"/>
        <v>0</v>
      </c>
      <c r="P56" s="32"/>
    </row>
    <row r="57" spans="1:16" x14ac:dyDescent="0.55000000000000004">
      <c r="A57" s="7" t="s">
        <v>63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0"/>
      <c r="O57" s="20"/>
      <c r="P57" s="32"/>
    </row>
    <row r="58" spans="1:16" x14ac:dyDescent="0.55000000000000004">
      <c r="A58" s="7" t="s">
        <v>64</v>
      </c>
      <c r="B58" s="27">
        <v>40</v>
      </c>
      <c r="C58" s="27">
        <v>60</v>
      </c>
      <c r="D58" s="27"/>
      <c r="E58" s="27"/>
      <c r="F58" s="27">
        <f>SUM(B58,D58)/8</f>
        <v>5</v>
      </c>
      <c r="G58" s="27">
        <f>SUM(C58,E58)/8</f>
        <v>7.5</v>
      </c>
      <c r="H58" s="27">
        <f t="shared" ref="H58:I63" si="22">SUM(B58,D58)*QA</f>
        <v>10</v>
      </c>
      <c r="I58" s="27">
        <f t="shared" si="22"/>
        <v>15</v>
      </c>
      <c r="J58" s="27"/>
      <c r="K58" s="27"/>
      <c r="L58" s="27">
        <f t="shared" si="8"/>
        <v>8.25</v>
      </c>
      <c r="M58" s="27">
        <f t="shared" si="9"/>
        <v>9.375</v>
      </c>
      <c r="N58" s="20">
        <f t="shared" si="20"/>
        <v>0</v>
      </c>
      <c r="O58" s="20">
        <f t="shared" si="20"/>
        <v>0</v>
      </c>
      <c r="P58" s="32" t="s">
        <v>103</v>
      </c>
    </row>
    <row r="59" spans="1:16" x14ac:dyDescent="0.55000000000000004">
      <c r="A59" s="29" t="s">
        <v>66</v>
      </c>
      <c r="B59" s="27"/>
      <c r="C59" s="27"/>
      <c r="D59" s="27"/>
      <c r="E59" s="27"/>
      <c r="F59" s="27"/>
      <c r="G59" s="27"/>
      <c r="H59" s="27">
        <f t="shared" si="22"/>
        <v>0</v>
      </c>
      <c r="I59" s="27">
        <f t="shared" si="22"/>
        <v>0</v>
      </c>
      <c r="J59" s="28"/>
      <c r="K59" s="28"/>
      <c r="L59" s="27">
        <f t="shared" si="8"/>
        <v>0</v>
      </c>
      <c r="M59" s="27">
        <f t="shared" si="9"/>
        <v>0</v>
      </c>
      <c r="N59" s="20">
        <f t="shared" si="20"/>
        <v>0</v>
      </c>
      <c r="O59" s="20">
        <f t="shared" si="20"/>
        <v>0</v>
      </c>
      <c r="P59" s="32"/>
    </row>
    <row r="60" spans="1:16" x14ac:dyDescent="0.55000000000000004">
      <c r="A60" s="11" t="s">
        <v>67</v>
      </c>
      <c r="B60" s="27">
        <v>0</v>
      </c>
      <c r="C60" s="27">
        <v>1</v>
      </c>
      <c r="D60" s="27">
        <v>0</v>
      </c>
      <c r="E60" s="27">
        <v>1</v>
      </c>
      <c r="F60" s="27">
        <v>8</v>
      </c>
      <c r="G60" s="27">
        <v>12</v>
      </c>
      <c r="H60" s="27">
        <f t="shared" si="22"/>
        <v>0</v>
      </c>
      <c r="I60" s="27"/>
      <c r="J60" s="28"/>
      <c r="K60" s="28"/>
      <c r="L60" s="27">
        <f t="shared" si="8"/>
        <v>1.2</v>
      </c>
      <c r="M60" s="27">
        <f t="shared" si="9"/>
        <v>1.95</v>
      </c>
      <c r="N60" s="20">
        <f t="shared" si="20"/>
        <v>0</v>
      </c>
      <c r="O60" s="20">
        <f t="shared" si="20"/>
        <v>0</v>
      </c>
      <c r="P60" s="32"/>
    </row>
    <row r="61" spans="1:16" x14ac:dyDescent="0.55000000000000004">
      <c r="A61" s="29" t="s">
        <v>68</v>
      </c>
      <c r="B61" s="27"/>
      <c r="C61" s="27"/>
      <c r="D61" s="27"/>
      <c r="E61" s="27"/>
      <c r="F61" s="27"/>
      <c r="G61" s="27"/>
      <c r="H61" s="27">
        <f t="shared" si="22"/>
        <v>0</v>
      </c>
      <c r="I61" s="27">
        <f t="shared" si="22"/>
        <v>0</v>
      </c>
      <c r="J61" s="28"/>
      <c r="K61" s="28"/>
      <c r="L61" s="27">
        <f t="shared" si="8"/>
        <v>0</v>
      </c>
      <c r="M61" s="27">
        <f t="shared" si="9"/>
        <v>0</v>
      </c>
      <c r="N61" s="20">
        <f t="shared" si="20"/>
        <v>0</v>
      </c>
      <c r="O61" s="20">
        <f t="shared" si="20"/>
        <v>0</v>
      </c>
      <c r="P61" s="32"/>
    </row>
    <row r="62" spans="1:16" ht="15.75" customHeight="1" x14ac:dyDescent="0.55000000000000004">
      <c r="A62" s="11" t="s">
        <v>69</v>
      </c>
      <c r="B62" s="27"/>
      <c r="C62" s="27"/>
      <c r="D62" s="27"/>
      <c r="E62" s="27"/>
      <c r="F62" s="27">
        <v>2</v>
      </c>
      <c r="G62" s="27">
        <v>2</v>
      </c>
      <c r="H62" s="27">
        <f t="shared" si="22"/>
        <v>0</v>
      </c>
      <c r="I62" s="27">
        <f t="shared" si="22"/>
        <v>0</v>
      </c>
      <c r="J62" s="28"/>
      <c r="K62" s="28"/>
      <c r="L62" s="27">
        <f t="shared" si="8"/>
        <v>0.3</v>
      </c>
      <c r="M62" s="27">
        <f t="shared" si="9"/>
        <v>0.3</v>
      </c>
      <c r="N62" s="20">
        <f t="shared" si="20"/>
        <v>0</v>
      </c>
      <c r="O62" s="20">
        <f t="shared" si="20"/>
        <v>0</v>
      </c>
      <c r="P62" s="32" t="s">
        <v>70</v>
      </c>
    </row>
    <row r="63" spans="1:16" ht="17.25" customHeight="1" x14ac:dyDescent="0.55000000000000004">
      <c r="A63" s="11" t="s">
        <v>71</v>
      </c>
      <c r="B63" s="27"/>
      <c r="C63" s="27"/>
      <c r="D63" s="27"/>
      <c r="E63" s="27"/>
      <c r="F63" s="27">
        <v>1</v>
      </c>
      <c r="G63" s="27">
        <v>1</v>
      </c>
      <c r="H63" s="27">
        <f t="shared" si="22"/>
        <v>0</v>
      </c>
      <c r="I63" s="27">
        <f t="shared" si="22"/>
        <v>0</v>
      </c>
      <c r="J63" s="28"/>
      <c r="K63" s="28"/>
      <c r="L63" s="27">
        <f t="shared" si="8"/>
        <v>0.15</v>
      </c>
      <c r="M63" s="27">
        <f t="shared" si="9"/>
        <v>0.15</v>
      </c>
      <c r="N63" s="20">
        <f t="shared" si="20"/>
        <v>0</v>
      </c>
      <c r="O63" s="20">
        <f t="shared" si="20"/>
        <v>0</v>
      </c>
      <c r="P63" s="32" t="s">
        <v>70</v>
      </c>
    </row>
    <row r="64" spans="1:16" ht="18" customHeight="1" x14ac:dyDescent="0.55000000000000004">
      <c r="A64" s="11" t="s">
        <v>72</v>
      </c>
      <c r="B64" s="27"/>
      <c r="C64" s="27"/>
      <c r="D64" s="27"/>
      <c r="E64" s="27"/>
      <c r="F64" s="27"/>
      <c r="G64" s="27"/>
      <c r="H64" s="27"/>
      <c r="I64" s="27"/>
      <c r="J64" s="28"/>
      <c r="K64" s="28"/>
      <c r="L64" s="27">
        <f t="shared" si="8"/>
        <v>0</v>
      </c>
      <c r="M64" s="27">
        <f t="shared" si="9"/>
        <v>0</v>
      </c>
      <c r="N64" s="20">
        <f t="shared" si="20"/>
        <v>0</v>
      </c>
      <c r="O64" s="20">
        <f t="shared" si="20"/>
        <v>0</v>
      </c>
      <c r="P64" s="32" t="s">
        <v>73</v>
      </c>
    </row>
    <row r="65" spans="1:16" x14ac:dyDescent="0.55000000000000004">
      <c r="A65" s="15" t="s">
        <v>74</v>
      </c>
      <c r="B65" s="27"/>
      <c r="C65" s="27"/>
      <c r="D65" s="27"/>
      <c r="E65" s="27"/>
      <c r="F65" s="27">
        <f t="shared" ref="F65:G68" si="23">SUM(B65,D65)/8</f>
        <v>0</v>
      </c>
      <c r="G65" s="27">
        <f>SUM(C65,E65)/8</f>
        <v>0</v>
      </c>
      <c r="H65" s="27">
        <f t="shared" ref="H65:I68" si="24">SUM(B65,D65)*QA</f>
        <v>0</v>
      </c>
      <c r="I65" s="27">
        <f>SUM(C65,E65)*QA</f>
        <v>0</v>
      </c>
      <c r="J65" s="28"/>
      <c r="K65" s="28"/>
      <c r="L65" s="27">
        <f t="shared" si="8"/>
        <v>0</v>
      </c>
      <c r="M65" s="27">
        <f>Producer*SUM(B65,E65,G65,I65)</f>
        <v>0</v>
      </c>
      <c r="N65" s="20">
        <f t="shared" si="20"/>
        <v>0</v>
      </c>
      <c r="O65" s="20">
        <f t="shared" si="20"/>
        <v>0</v>
      </c>
      <c r="P65" s="32"/>
    </row>
    <row r="66" spans="1:16" ht="21.75" customHeight="1" x14ac:dyDescent="0.55000000000000004">
      <c r="A66" s="11" t="s">
        <v>75</v>
      </c>
      <c r="B66" s="27"/>
      <c r="C66" s="27"/>
      <c r="D66" s="27">
        <v>3</v>
      </c>
      <c r="E66" s="27">
        <v>4</v>
      </c>
      <c r="F66" s="27">
        <f t="shared" si="23"/>
        <v>0.375</v>
      </c>
      <c r="G66" s="27">
        <f t="shared" si="23"/>
        <v>0.5</v>
      </c>
      <c r="H66" s="27">
        <f t="shared" si="24"/>
        <v>0.75</v>
      </c>
      <c r="I66" s="27">
        <f t="shared" si="24"/>
        <v>1</v>
      </c>
      <c r="J66" s="28"/>
      <c r="K66" s="28"/>
      <c r="L66" s="27">
        <f t="shared" si="8"/>
        <v>0.61875000000000002</v>
      </c>
      <c r="M66" s="27">
        <f t="shared" ref="M66:M68" si="25">Producer*SUM(B66,E66,G66,I66)</f>
        <v>0.82499999999999996</v>
      </c>
      <c r="N66" s="20">
        <f t="shared" ref="N66:O68" si="26">Gov*SUM(B66,D66,F66,F66,F66,H66,L66)</f>
        <v>0</v>
      </c>
      <c r="O66" s="20">
        <f t="shared" si="26"/>
        <v>0</v>
      </c>
      <c r="P66" s="32" t="s">
        <v>76</v>
      </c>
    </row>
    <row r="67" spans="1:16" ht="21" customHeight="1" x14ac:dyDescent="0.55000000000000004">
      <c r="A67" s="11" t="s">
        <v>77</v>
      </c>
      <c r="B67" s="27"/>
      <c r="C67" s="27"/>
      <c r="D67" s="27">
        <v>3</v>
      </c>
      <c r="E67" s="27">
        <v>4</v>
      </c>
      <c r="F67" s="27">
        <f t="shared" si="23"/>
        <v>0.375</v>
      </c>
      <c r="G67" s="27">
        <f t="shared" si="23"/>
        <v>0.5</v>
      </c>
      <c r="H67" s="27">
        <f t="shared" si="24"/>
        <v>0.75</v>
      </c>
      <c r="I67" s="27">
        <f t="shared" si="24"/>
        <v>1</v>
      </c>
      <c r="J67" s="28"/>
      <c r="K67" s="28"/>
      <c r="L67" s="27">
        <f t="shared" si="8"/>
        <v>0.61875000000000002</v>
      </c>
      <c r="M67" s="27">
        <f t="shared" si="25"/>
        <v>0.82499999999999996</v>
      </c>
      <c r="N67" s="20">
        <f t="shared" si="26"/>
        <v>0</v>
      </c>
      <c r="O67" s="20">
        <f t="shared" si="26"/>
        <v>0</v>
      </c>
      <c r="P67" s="32" t="s">
        <v>76</v>
      </c>
    </row>
    <row r="68" spans="1:16" ht="23.25" customHeight="1" x14ac:dyDescent="0.55000000000000004">
      <c r="A68" s="11" t="s">
        <v>78</v>
      </c>
      <c r="B68" s="27"/>
      <c r="C68" s="27"/>
      <c r="D68" s="27">
        <v>2</v>
      </c>
      <c r="E68" s="27">
        <v>4</v>
      </c>
      <c r="F68" s="27">
        <f t="shared" si="23"/>
        <v>0.25</v>
      </c>
      <c r="G68" s="27">
        <f t="shared" si="23"/>
        <v>0.5</v>
      </c>
      <c r="H68" s="27">
        <f t="shared" si="24"/>
        <v>0.5</v>
      </c>
      <c r="I68" s="27">
        <f t="shared" si="24"/>
        <v>1</v>
      </c>
      <c r="J68" s="28"/>
      <c r="K68" s="28"/>
      <c r="L68" s="27">
        <f t="shared" si="8"/>
        <v>0.41249999999999998</v>
      </c>
      <c r="M68" s="27">
        <f t="shared" si="25"/>
        <v>0.82499999999999996</v>
      </c>
      <c r="N68" s="20">
        <f t="shared" si="26"/>
        <v>0</v>
      </c>
      <c r="O68" s="20">
        <f t="shared" si="26"/>
        <v>0</v>
      </c>
      <c r="P68" s="32" t="s">
        <v>79</v>
      </c>
    </row>
    <row r="69" spans="1:16" x14ac:dyDescent="0.55000000000000004">
      <c r="A69" s="12" t="s">
        <v>80</v>
      </c>
      <c r="B69" s="23">
        <f t="shared" ref="B69:O69" si="27">SUM(B5:B68)</f>
        <v>320</v>
      </c>
      <c r="C69" s="23">
        <f t="shared" si="27"/>
        <v>539</v>
      </c>
      <c r="D69" s="23">
        <f t="shared" si="27"/>
        <v>97</v>
      </c>
      <c r="E69" s="23">
        <f t="shared" si="27"/>
        <v>153</v>
      </c>
      <c r="F69" s="23">
        <f t="shared" si="27"/>
        <v>73.125</v>
      </c>
      <c r="G69" s="23">
        <f t="shared" si="27"/>
        <v>127.25</v>
      </c>
      <c r="H69" s="23">
        <f t="shared" si="27"/>
        <v>156.75</v>
      </c>
      <c r="I69" s="23">
        <f t="shared" si="27"/>
        <v>248</v>
      </c>
      <c r="J69" s="23">
        <f t="shared" si="27"/>
        <v>0</v>
      </c>
      <c r="K69" s="23">
        <f t="shared" si="27"/>
        <v>0</v>
      </c>
      <c r="L69" s="23">
        <f t="shared" si="27"/>
        <v>99.731250000000003</v>
      </c>
      <c r="M69" s="23">
        <f t="shared" si="27"/>
        <v>129.98749999999998</v>
      </c>
      <c r="N69" s="23">
        <f t="shared" si="27"/>
        <v>0</v>
      </c>
      <c r="O69" s="23">
        <f t="shared" si="27"/>
        <v>0</v>
      </c>
      <c r="P69" s="32"/>
    </row>
    <row r="70" spans="1:16" x14ac:dyDescent="0.55000000000000004">
      <c r="A70" s="11" t="s">
        <v>81</v>
      </c>
      <c r="B70" s="20">
        <f t="shared" ref="B70:O70" si="28">Agile*B69</f>
        <v>48</v>
      </c>
      <c r="C70" s="20">
        <f t="shared" si="28"/>
        <v>80.849999999999994</v>
      </c>
      <c r="D70" s="20">
        <f t="shared" si="28"/>
        <v>14.549999999999999</v>
      </c>
      <c r="E70" s="20">
        <f t="shared" si="28"/>
        <v>22.95</v>
      </c>
      <c r="F70" s="20">
        <f t="shared" si="28"/>
        <v>10.96875</v>
      </c>
      <c r="G70" s="20">
        <f t="shared" si="28"/>
        <v>19.087499999999999</v>
      </c>
      <c r="H70" s="20">
        <f t="shared" si="28"/>
        <v>23.512499999999999</v>
      </c>
      <c r="I70" s="20">
        <f t="shared" si="28"/>
        <v>37.199999999999996</v>
      </c>
      <c r="J70" s="20">
        <f t="shared" si="28"/>
        <v>0</v>
      </c>
      <c r="K70" s="20">
        <f t="shared" si="28"/>
        <v>0</v>
      </c>
      <c r="L70" s="20">
        <f t="shared" si="28"/>
        <v>14.959687499999999</v>
      </c>
      <c r="M70" s="20">
        <f t="shared" si="28"/>
        <v>19.498124999999998</v>
      </c>
      <c r="N70" s="20">
        <f t="shared" si="28"/>
        <v>0</v>
      </c>
      <c r="O70" s="20">
        <f t="shared" si="28"/>
        <v>0</v>
      </c>
      <c r="P70" s="32"/>
    </row>
    <row r="71" spans="1:16" x14ac:dyDescent="0.55000000000000004">
      <c r="A71" s="11" t="s">
        <v>82</v>
      </c>
      <c r="B71" s="20">
        <f t="shared" ref="B71:O71" si="29">SUM(B69:B70)</f>
        <v>368</v>
      </c>
      <c r="C71" s="20">
        <f t="shared" si="29"/>
        <v>619.85</v>
      </c>
      <c r="D71" s="20">
        <f t="shared" si="29"/>
        <v>111.55</v>
      </c>
      <c r="E71" s="20">
        <f t="shared" si="29"/>
        <v>175.95</v>
      </c>
      <c r="F71" s="20">
        <f t="shared" si="29"/>
        <v>84.09375</v>
      </c>
      <c r="G71" s="20">
        <f t="shared" si="29"/>
        <v>146.33750000000001</v>
      </c>
      <c r="H71" s="20">
        <f t="shared" si="29"/>
        <v>180.26249999999999</v>
      </c>
      <c r="I71" s="20">
        <f t="shared" si="29"/>
        <v>285.2</v>
      </c>
      <c r="J71" s="20">
        <f t="shared" si="29"/>
        <v>0</v>
      </c>
      <c r="K71" s="20">
        <f t="shared" si="29"/>
        <v>0</v>
      </c>
      <c r="L71" s="20">
        <f t="shared" si="29"/>
        <v>114.6909375</v>
      </c>
      <c r="M71" s="20">
        <f t="shared" si="29"/>
        <v>149.48562499999997</v>
      </c>
      <c r="N71" s="20">
        <f t="shared" si="29"/>
        <v>0</v>
      </c>
      <c r="O71" s="20">
        <f t="shared" si="29"/>
        <v>0</v>
      </c>
      <c r="P71" s="32"/>
    </row>
    <row r="72" spans="1:16" x14ac:dyDescent="0.55000000000000004">
      <c r="A72" s="11" t="s">
        <v>83</v>
      </c>
      <c r="B72" s="25">
        <f t="shared" ref="B72:I72" si="30">B71*(1+Buffer)</f>
        <v>404.8</v>
      </c>
      <c r="C72" s="25">
        <f t="shared" si="30"/>
        <v>681.83500000000004</v>
      </c>
      <c r="D72" s="25">
        <f t="shared" si="30"/>
        <v>122.70500000000001</v>
      </c>
      <c r="E72" s="25">
        <f>E71*(1+Buffer)</f>
        <v>193.54500000000002</v>
      </c>
      <c r="F72" s="25">
        <f t="shared" si="30"/>
        <v>92.503125000000011</v>
      </c>
      <c r="G72" s="25">
        <f t="shared" si="30"/>
        <v>160.97125000000003</v>
      </c>
      <c r="H72" s="25">
        <f t="shared" si="30"/>
        <v>198.28874999999999</v>
      </c>
      <c r="I72" s="25">
        <f t="shared" si="30"/>
        <v>313.72000000000003</v>
      </c>
      <c r="J72" s="25">
        <f t="shared" ref="J72:K72" si="31">J71*1.15</f>
        <v>0</v>
      </c>
      <c r="K72" s="25">
        <f t="shared" si="31"/>
        <v>0</v>
      </c>
      <c r="L72" s="25">
        <f>L71*(1+Buffer)</f>
        <v>126.16003125000002</v>
      </c>
      <c r="M72" s="25">
        <f>M71*(1+Buffer)</f>
        <v>164.43418749999998</v>
      </c>
      <c r="N72" s="25">
        <f>N71*(1+Buffer)</f>
        <v>0</v>
      </c>
      <c r="O72" s="25">
        <f>O71*(1+Buffer)</f>
        <v>0</v>
      </c>
      <c r="P72" s="32"/>
    </row>
    <row r="73" spans="1:16" x14ac:dyDescent="0.55000000000000004">
      <c r="A73" s="11" t="s">
        <v>84</v>
      </c>
      <c r="B73" s="26">
        <f>B72/40</f>
        <v>10.120000000000001</v>
      </c>
      <c r="C73" s="26">
        <f t="shared" ref="C73:O73" si="32">C72/40</f>
        <v>17.045875000000002</v>
      </c>
      <c r="D73" s="26">
        <f t="shared" si="32"/>
        <v>3.0676250000000005</v>
      </c>
      <c r="E73" s="26">
        <f t="shared" si="32"/>
        <v>4.8386250000000004</v>
      </c>
      <c r="F73" s="26">
        <f t="shared" si="32"/>
        <v>2.3125781250000004</v>
      </c>
      <c r="G73" s="26">
        <f t="shared" si="32"/>
        <v>4.0242812500000005</v>
      </c>
      <c r="H73" s="26">
        <f t="shared" si="32"/>
        <v>4.95721875</v>
      </c>
      <c r="I73" s="26">
        <f t="shared" si="32"/>
        <v>7.8430000000000009</v>
      </c>
      <c r="J73" s="26">
        <f t="shared" si="32"/>
        <v>0</v>
      </c>
      <c r="K73" s="26">
        <f t="shared" si="32"/>
        <v>0</v>
      </c>
      <c r="L73" s="26">
        <f t="shared" si="32"/>
        <v>3.1540007812500006</v>
      </c>
      <c r="M73" s="26">
        <f t="shared" si="32"/>
        <v>4.1108546874999998</v>
      </c>
      <c r="N73" s="26">
        <f t="shared" si="32"/>
        <v>0</v>
      </c>
      <c r="O73" s="26">
        <f t="shared" si="32"/>
        <v>0</v>
      </c>
      <c r="P73" s="32"/>
    </row>
    <row r="74" spans="1:16" x14ac:dyDescent="0.55000000000000004">
      <c r="A74" s="13" t="s">
        <v>85</v>
      </c>
      <c r="B74" s="1">
        <v>80</v>
      </c>
      <c r="C74" s="1">
        <v>80</v>
      </c>
      <c r="D74" s="1">
        <v>80</v>
      </c>
      <c r="E74" s="1">
        <v>80</v>
      </c>
      <c r="F74" s="1">
        <v>120</v>
      </c>
      <c r="G74" s="1">
        <v>120</v>
      </c>
      <c r="H74" s="1">
        <v>75</v>
      </c>
      <c r="I74" s="1">
        <v>75</v>
      </c>
      <c r="J74" s="1">
        <v>85</v>
      </c>
      <c r="K74" s="1">
        <v>85</v>
      </c>
      <c r="L74" s="1">
        <v>100</v>
      </c>
      <c r="M74" s="1">
        <v>100</v>
      </c>
      <c r="N74" s="1">
        <v>240</v>
      </c>
      <c r="O74" s="1">
        <v>240</v>
      </c>
      <c r="P74" s="34"/>
    </row>
    <row r="75" spans="1:16" x14ac:dyDescent="0.55000000000000004">
      <c r="A75" s="16" t="s">
        <v>86</v>
      </c>
      <c r="B75" s="21">
        <f>B74*B72</f>
        <v>32384</v>
      </c>
      <c r="C75" s="21">
        <f t="shared" ref="C75:N75" si="33">C74*C72</f>
        <v>54546.8</v>
      </c>
      <c r="D75" s="21">
        <f t="shared" si="33"/>
        <v>9816.4000000000015</v>
      </c>
      <c r="E75" s="21">
        <f>E74*E72</f>
        <v>15483.600000000002</v>
      </c>
      <c r="F75" s="21">
        <f t="shared" si="33"/>
        <v>11100.375000000002</v>
      </c>
      <c r="G75" s="21">
        <f t="shared" si="33"/>
        <v>19316.550000000003</v>
      </c>
      <c r="H75" s="21">
        <f t="shared" si="33"/>
        <v>14871.65625</v>
      </c>
      <c r="I75" s="21">
        <f t="shared" si="33"/>
        <v>23529.000000000004</v>
      </c>
      <c r="J75" s="21">
        <f t="shared" si="33"/>
        <v>0</v>
      </c>
      <c r="K75" s="21">
        <f t="shared" si="33"/>
        <v>0</v>
      </c>
      <c r="L75" s="21">
        <f t="shared" si="33"/>
        <v>12616.003125000001</v>
      </c>
      <c r="M75" s="21">
        <f t="shared" si="33"/>
        <v>16443.418749999997</v>
      </c>
      <c r="N75" s="21">
        <f t="shared" si="33"/>
        <v>0</v>
      </c>
      <c r="O75" s="21">
        <f>O74*O72</f>
        <v>0</v>
      </c>
      <c r="P75" s="10"/>
    </row>
    <row r="76" spans="1:16" x14ac:dyDescent="0.55000000000000004">
      <c r="A76" s="11"/>
      <c r="B76" s="11"/>
      <c r="C76" s="11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10"/>
    </row>
    <row r="77" spans="1:16" x14ac:dyDescent="0.55000000000000004">
      <c r="A77" s="11"/>
      <c r="B77" s="11"/>
      <c r="C77" s="11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10"/>
    </row>
    <row r="78" spans="1:16" x14ac:dyDescent="0.55000000000000004">
      <c r="A78" s="16" t="s">
        <v>87</v>
      </c>
      <c r="B78" s="16"/>
      <c r="C78" s="16"/>
      <c r="D78" s="6"/>
      <c r="E78" s="6"/>
      <c r="F78" s="6" t="s">
        <v>88</v>
      </c>
      <c r="G78" s="6" t="s">
        <v>89</v>
      </c>
      <c r="H78" s="6" t="s">
        <v>90</v>
      </c>
      <c r="I78" s="6"/>
      <c r="J78" s="6"/>
      <c r="K78" s="6"/>
      <c r="L78" s="6"/>
      <c r="M78" s="6"/>
      <c r="N78" s="6"/>
      <c r="O78" s="6"/>
      <c r="P78" s="10"/>
    </row>
    <row r="79" spans="1:16" x14ac:dyDescent="0.55000000000000004">
      <c r="A79" s="10"/>
      <c r="B79" s="17"/>
      <c r="C79" s="17"/>
      <c r="D79" s="6"/>
      <c r="E79" s="6"/>
      <c r="F79" s="22">
        <f>SUM(D75,F75,H75,L75, B75,J75,N75)</f>
        <v>80788.434375000012</v>
      </c>
      <c r="G79" s="22">
        <f>SUM(F79,H79)/2</f>
        <v>105053.90156250002</v>
      </c>
      <c r="H79" s="22">
        <f>SUM(E75,G75,I75,M75, C75,K75,O75)</f>
        <v>129319.36875000001</v>
      </c>
      <c r="I79" s="6"/>
      <c r="J79" s="6"/>
      <c r="K79" s="6"/>
      <c r="L79" s="6"/>
      <c r="M79" s="6"/>
      <c r="N79" s="6"/>
      <c r="O79" s="6"/>
      <c r="P79" s="10"/>
    </row>
    <row r="80" spans="1:16" x14ac:dyDescent="0.55000000000000004">
      <c r="A80" s="10"/>
      <c r="B80" s="10"/>
      <c r="C80" s="10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10"/>
    </row>
    <row r="81" spans="1:16" x14ac:dyDescent="0.55000000000000004">
      <c r="A81" s="6"/>
      <c r="B81" s="10"/>
      <c r="C81" s="10"/>
      <c r="D81" s="6"/>
      <c r="E81" s="6" t="s">
        <v>104</v>
      </c>
      <c r="F81" s="6" t="s">
        <v>105</v>
      </c>
      <c r="G81" s="6" t="s">
        <v>106</v>
      </c>
      <c r="H81" s="6"/>
      <c r="I81" s="6"/>
      <c r="J81" s="6"/>
      <c r="K81" s="6"/>
      <c r="L81" s="6"/>
      <c r="M81" s="6"/>
      <c r="N81" s="6"/>
      <c r="O81" s="6"/>
      <c r="P81" s="10"/>
    </row>
    <row r="82" spans="1:16" x14ac:dyDescent="0.55000000000000004">
      <c r="A82" s="10"/>
      <c r="B82" s="10"/>
      <c r="C82" s="10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10"/>
    </row>
    <row r="83" spans="1:16" x14ac:dyDescent="0.55000000000000004">
      <c r="A83" s="10"/>
      <c r="B83" s="10"/>
      <c r="C83" s="10"/>
      <c r="D83" s="15"/>
      <c r="E83" s="15"/>
      <c r="F83" s="6"/>
      <c r="G83" s="6"/>
      <c r="H83" s="6"/>
      <c r="I83" s="6"/>
      <c r="J83" s="6"/>
      <c r="K83" s="6"/>
      <c r="L83" s="6"/>
      <c r="M83" s="6"/>
      <c r="N83" s="6"/>
      <c r="O83" s="6"/>
      <c r="P83" s="10"/>
    </row>
    <row r="84" spans="1:16" x14ac:dyDescent="0.55000000000000004">
      <c r="A84" s="10"/>
      <c r="B84" s="10"/>
      <c r="C84" s="10"/>
      <c r="D84" s="18"/>
      <c r="E84" s="19"/>
      <c r="F84" s="6"/>
      <c r="G84" s="6" t="s">
        <v>107</v>
      </c>
      <c r="H84" s="6" t="s">
        <v>108</v>
      </c>
      <c r="I84" s="6" t="s">
        <v>80</v>
      </c>
      <c r="J84" s="6" t="s">
        <v>109</v>
      </c>
      <c r="K84" s="6" t="s">
        <v>110</v>
      </c>
      <c r="L84" s="6"/>
      <c r="M84" s="6"/>
      <c r="N84" s="6"/>
      <c r="O84" s="6"/>
      <c r="P84" s="10"/>
    </row>
    <row r="85" spans="1:16" x14ac:dyDescent="0.55000000000000004">
      <c r="A85" s="10"/>
      <c r="B85" s="10"/>
      <c r="C85" s="10"/>
      <c r="D85" s="15"/>
      <c r="E85" s="15"/>
      <c r="F85" s="46"/>
      <c r="G85" s="46" cm="1">
        <f t="array" ref="G85">Table279[Mid]</f>
        <v>105053.90156250002</v>
      </c>
      <c r="H85" s="47">
        <v>15000</v>
      </c>
      <c r="I85" s="46">
        <f>G85-H85</f>
        <v>90053.901562500017</v>
      </c>
      <c r="J85" s="6">
        <v>25000</v>
      </c>
      <c r="K85" s="46">
        <f>I85-J85</f>
        <v>65053.901562500017</v>
      </c>
      <c r="L85" s="6"/>
      <c r="M85" s="6"/>
      <c r="N85" s="6"/>
      <c r="O85" s="6"/>
      <c r="P85" s="10"/>
    </row>
    <row r="86" spans="1:16" x14ac:dyDescent="0.55000000000000004">
      <c r="A86" s="10"/>
      <c r="B86" s="10"/>
      <c r="C86" s="10"/>
      <c r="D86" s="18"/>
      <c r="E86" s="18"/>
      <c r="F86" s="6"/>
      <c r="G86" s="6"/>
      <c r="H86" s="6"/>
      <c r="I86" s="6"/>
      <c r="J86" s="6"/>
      <c r="K86" s="6"/>
      <c r="L86" s="6"/>
      <c r="M86" s="6"/>
      <c r="N86" s="6"/>
      <c r="O86" s="6"/>
      <c r="P86" s="10"/>
    </row>
    <row r="87" spans="1:16" x14ac:dyDescent="0.55000000000000004">
      <c r="A87" s="10"/>
      <c r="B87" s="10"/>
      <c r="C87" s="10"/>
      <c r="D87" s="15"/>
      <c r="E87" s="6"/>
      <c r="F87" s="6"/>
      <c r="G87" s="6" t="s">
        <v>111</v>
      </c>
      <c r="H87" s="6"/>
      <c r="I87" s="6"/>
      <c r="J87" s="6"/>
      <c r="K87" s="6"/>
      <c r="L87" s="6"/>
      <c r="M87" s="6"/>
      <c r="N87" s="6"/>
      <c r="O87" s="6"/>
      <c r="P87" s="10"/>
    </row>
    <row r="88" spans="1:16" x14ac:dyDescent="0.55000000000000004">
      <c r="A88" s="10"/>
      <c r="B88" s="10"/>
      <c r="C88" s="10"/>
      <c r="D88" s="36"/>
      <c r="E88" s="6"/>
      <c r="F88" s="6"/>
      <c r="G88" s="6" t="s">
        <v>112</v>
      </c>
      <c r="H88" s="6"/>
      <c r="I88" s="6"/>
      <c r="J88" s="6"/>
      <c r="K88" s="6"/>
      <c r="L88" s="6"/>
      <c r="M88" s="6"/>
      <c r="N88" s="6"/>
      <c r="O88" s="6"/>
      <c r="P88" s="10"/>
    </row>
    <row r="89" spans="1:16" x14ac:dyDescent="0.55000000000000004">
      <c r="A89" s="10"/>
      <c r="B89" s="10"/>
      <c r="C89" s="10"/>
      <c r="D89" s="6"/>
      <c r="E89" s="6"/>
      <c r="F89" s="6"/>
      <c r="G89" s="6" t="s">
        <v>113</v>
      </c>
      <c r="H89" s="6"/>
      <c r="I89" s="6"/>
      <c r="J89" s="6"/>
      <c r="K89" s="6"/>
      <c r="L89" s="6"/>
      <c r="M89" s="6"/>
      <c r="N89" s="6"/>
      <c r="O89" s="6"/>
      <c r="P89" s="10"/>
    </row>
    <row r="90" spans="1:16" x14ac:dyDescent="0.55000000000000004">
      <c r="A90" s="10"/>
      <c r="B90" s="10"/>
      <c r="C90" s="10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10"/>
    </row>
    <row r="91" spans="1:16" x14ac:dyDescent="0.55000000000000004">
      <c r="A91" s="10"/>
      <c r="B91" s="10"/>
      <c r="C91" s="10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10"/>
    </row>
    <row r="92" spans="1:16" x14ac:dyDescent="0.55000000000000004">
      <c r="A92" s="10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10"/>
    </row>
    <row r="93" spans="1:16" x14ac:dyDescent="0.55000000000000004">
      <c r="A93" s="10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10"/>
    </row>
    <row r="94" spans="1:16" x14ac:dyDescent="0.55000000000000004">
      <c r="A94" s="10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10"/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62FE-7C13-45B6-82E6-5B445A0BEE28}">
  <dimension ref="A1:P32"/>
  <sheetViews>
    <sheetView zoomScale="85" zoomScaleNormal="85" workbookViewId="0">
      <selection activeCell="H4" sqref="H4"/>
    </sheetView>
  </sheetViews>
  <sheetFormatPr defaultRowHeight="14.4" x14ac:dyDescent="0.55000000000000004"/>
  <cols>
    <col min="1" max="1" width="86.68359375" bestFit="1" customWidth="1"/>
    <col min="6" max="6" width="13" bestFit="1" customWidth="1"/>
    <col min="7" max="7" width="11.83984375" bestFit="1" customWidth="1"/>
    <col min="8" max="8" width="10.26171875" bestFit="1" customWidth="1"/>
    <col min="9" max="9" width="12.68359375" bestFit="1" customWidth="1"/>
  </cols>
  <sheetData>
    <row r="1" spans="1:16" x14ac:dyDescent="0.5500000000000000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10"/>
    </row>
    <row r="2" spans="1:16" ht="41.25" customHeight="1" x14ac:dyDescent="0.5500000000000000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</row>
    <row r="3" spans="1:16" x14ac:dyDescent="0.55000000000000004">
      <c r="A3" s="4"/>
      <c r="B3" s="4"/>
      <c r="C3" s="4"/>
      <c r="D3" s="4"/>
      <c r="E3" s="4"/>
      <c r="F3" s="24"/>
      <c r="G3" s="4"/>
      <c r="H3" s="4"/>
      <c r="I3" s="4"/>
      <c r="J3" s="4"/>
      <c r="K3" s="4"/>
      <c r="L3" s="4"/>
      <c r="M3" s="4"/>
      <c r="N3" s="24"/>
      <c r="O3" s="4"/>
      <c r="P3" s="5"/>
    </row>
    <row r="4" spans="1:16" x14ac:dyDescent="0.55000000000000004">
      <c r="A4" s="29" t="s">
        <v>114</v>
      </c>
      <c r="B4" s="27">
        <v>80</v>
      </c>
      <c r="C4" s="27">
        <v>80</v>
      </c>
      <c r="D4" s="27"/>
      <c r="E4" s="27"/>
      <c r="F4" s="27">
        <v>40</v>
      </c>
      <c r="G4" s="27">
        <v>40</v>
      </c>
      <c r="H4" s="27">
        <f>Table16810[[#This Row],[FED Low]]/4</f>
        <v>20</v>
      </c>
      <c r="I4" s="27">
        <f>Table16810[[#This Row],[FED High]]/4</f>
        <v>20</v>
      </c>
      <c r="J4" s="28"/>
      <c r="K4" s="28"/>
      <c r="L4" s="27">
        <f t="shared" ref="L4" si="0">Producer*SUM(B4,D4,F4,H4)</f>
        <v>21</v>
      </c>
      <c r="M4" s="27">
        <f t="shared" ref="M4" si="1">Producer*SUM(B4,E4,G4,I4)</f>
        <v>21</v>
      </c>
      <c r="N4" s="20">
        <f t="shared" ref="N4:O6" si="2">Gov*SUM(B4,D4,F4,F4,F4,H4,L4)</f>
        <v>0</v>
      </c>
      <c r="O4" s="20">
        <f t="shared" si="2"/>
        <v>0</v>
      </c>
      <c r="P4" s="32"/>
    </row>
    <row r="5" spans="1:16" x14ac:dyDescent="0.55000000000000004">
      <c r="A5" s="11"/>
      <c r="B5" s="27"/>
      <c r="C5" s="27"/>
      <c r="D5" s="27"/>
      <c r="E5" s="27"/>
      <c r="F5" s="27"/>
      <c r="G5" s="27"/>
      <c r="H5" s="27">
        <f t="shared" ref="H5:I6" si="3">SUM(B5,D5)*QA</f>
        <v>0</v>
      </c>
      <c r="I5" s="27"/>
      <c r="J5" s="28"/>
      <c r="K5" s="28"/>
      <c r="L5" s="27">
        <f t="shared" ref="L5:L6" si="4">Producer*SUM(B5,D5,F5,H5)</f>
        <v>0</v>
      </c>
      <c r="M5" s="27">
        <f t="shared" ref="M5:M6" si="5">Producer*SUM(B5,E5,G5,I5)</f>
        <v>0</v>
      </c>
      <c r="N5" s="20">
        <f t="shared" si="2"/>
        <v>0</v>
      </c>
      <c r="O5" s="20">
        <f t="shared" si="2"/>
        <v>0</v>
      </c>
      <c r="P5" s="32"/>
    </row>
    <row r="6" spans="1:16" x14ac:dyDescent="0.55000000000000004">
      <c r="A6" s="29"/>
      <c r="B6" s="27"/>
      <c r="C6" s="27"/>
      <c r="D6" s="27"/>
      <c r="E6" s="27"/>
      <c r="F6" s="27"/>
      <c r="G6" s="27"/>
      <c r="H6" s="27">
        <f t="shared" si="3"/>
        <v>0</v>
      </c>
      <c r="I6" s="27">
        <f t="shared" si="3"/>
        <v>0</v>
      </c>
      <c r="J6" s="28"/>
      <c r="K6" s="28"/>
      <c r="L6" s="27">
        <f t="shared" si="4"/>
        <v>0</v>
      </c>
      <c r="M6" s="27">
        <f t="shared" si="5"/>
        <v>0</v>
      </c>
      <c r="N6" s="20">
        <f t="shared" si="2"/>
        <v>0</v>
      </c>
      <c r="O6" s="20">
        <f t="shared" si="2"/>
        <v>0</v>
      </c>
      <c r="P6" s="32"/>
    </row>
    <row r="7" spans="1:16" x14ac:dyDescent="0.55000000000000004">
      <c r="A7" s="12" t="s">
        <v>80</v>
      </c>
      <c r="B7" s="23">
        <f t="shared" ref="B7:O7" si="6">SUM(B4:B6)</f>
        <v>80</v>
      </c>
      <c r="C7" s="23">
        <f t="shared" si="6"/>
        <v>80</v>
      </c>
      <c r="D7" s="23">
        <f t="shared" si="6"/>
        <v>0</v>
      </c>
      <c r="E7" s="23">
        <f t="shared" si="6"/>
        <v>0</v>
      </c>
      <c r="F7" s="23">
        <f t="shared" si="6"/>
        <v>40</v>
      </c>
      <c r="G7" s="23">
        <f t="shared" si="6"/>
        <v>40</v>
      </c>
      <c r="H7" s="23">
        <f t="shared" si="6"/>
        <v>20</v>
      </c>
      <c r="I7" s="23">
        <f t="shared" si="6"/>
        <v>20</v>
      </c>
      <c r="J7" s="23">
        <f t="shared" si="6"/>
        <v>0</v>
      </c>
      <c r="K7" s="23">
        <f t="shared" si="6"/>
        <v>0</v>
      </c>
      <c r="L7" s="23">
        <f t="shared" si="6"/>
        <v>21</v>
      </c>
      <c r="M7" s="23">
        <f t="shared" si="6"/>
        <v>21</v>
      </c>
      <c r="N7" s="23">
        <f t="shared" si="6"/>
        <v>0</v>
      </c>
      <c r="O7" s="23">
        <f t="shared" si="6"/>
        <v>0</v>
      </c>
      <c r="P7" s="32"/>
    </row>
    <row r="8" spans="1:16" x14ac:dyDescent="0.55000000000000004">
      <c r="A8" s="11" t="s">
        <v>81</v>
      </c>
      <c r="B8" s="20">
        <f t="shared" ref="B8:O8" si="7">Agile*B7</f>
        <v>12</v>
      </c>
      <c r="C8" s="20">
        <f t="shared" si="7"/>
        <v>12</v>
      </c>
      <c r="D8" s="20">
        <f t="shared" si="7"/>
        <v>0</v>
      </c>
      <c r="E8" s="20">
        <f t="shared" si="7"/>
        <v>0</v>
      </c>
      <c r="F8" s="20">
        <f t="shared" si="7"/>
        <v>6</v>
      </c>
      <c r="G8" s="20">
        <f t="shared" si="7"/>
        <v>6</v>
      </c>
      <c r="H8" s="20">
        <f t="shared" si="7"/>
        <v>3</v>
      </c>
      <c r="I8" s="20">
        <f t="shared" si="7"/>
        <v>3</v>
      </c>
      <c r="J8" s="20">
        <f t="shared" si="7"/>
        <v>0</v>
      </c>
      <c r="K8" s="20">
        <f t="shared" si="7"/>
        <v>0</v>
      </c>
      <c r="L8" s="20">
        <f t="shared" si="7"/>
        <v>3.15</v>
      </c>
      <c r="M8" s="20">
        <f t="shared" si="7"/>
        <v>3.15</v>
      </c>
      <c r="N8" s="20">
        <f t="shared" si="7"/>
        <v>0</v>
      </c>
      <c r="O8" s="20">
        <f t="shared" si="7"/>
        <v>0</v>
      </c>
      <c r="P8" s="32"/>
    </row>
    <row r="9" spans="1:16" x14ac:dyDescent="0.55000000000000004">
      <c r="A9" s="11" t="s">
        <v>82</v>
      </c>
      <c r="B9" s="20">
        <f t="shared" ref="B9:O9" si="8">SUM(B7:B8)</f>
        <v>92</v>
      </c>
      <c r="C9" s="20">
        <f t="shared" si="8"/>
        <v>92</v>
      </c>
      <c r="D9" s="20">
        <f t="shared" si="8"/>
        <v>0</v>
      </c>
      <c r="E9" s="20">
        <f t="shared" si="8"/>
        <v>0</v>
      </c>
      <c r="F9" s="20">
        <f t="shared" si="8"/>
        <v>46</v>
      </c>
      <c r="G9" s="20">
        <f t="shared" si="8"/>
        <v>46</v>
      </c>
      <c r="H9" s="20">
        <f t="shared" si="8"/>
        <v>23</v>
      </c>
      <c r="I9" s="20">
        <f t="shared" si="8"/>
        <v>23</v>
      </c>
      <c r="J9" s="20">
        <f t="shared" si="8"/>
        <v>0</v>
      </c>
      <c r="K9" s="20">
        <f t="shared" si="8"/>
        <v>0</v>
      </c>
      <c r="L9" s="20">
        <f t="shared" si="8"/>
        <v>24.15</v>
      </c>
      <c r="M9" s="20">
        <f t="shared" si="8"/>
        <v>24.15</v>
      </c>
      <c r="N9" s="20">
        <f t="shared" si="8"/>
        <v>0</v>
      </c>
      <c r="O9" s="20">
        <f t="shared" si="8"/>
        <v>0</v>
      </c>
      <c r="P9" s="32"/>
    </row>
    <row r="10" spans="1:16" ht="14.7" thickBot="1" x14ac:dyDescent="0.6">
      <c r="A10" s="11" t="s">
        <v>83</v>
      </c>
      <c r="B10" s="25">
        <f t="shared" ref="B10:I10" si="9">B9*(1+Buffer)</f>
        <v>101.2</v>
      </c>
      <c r="C10" s="25">
        <f t="shared" si="9"/>
        <v>101.2</v>
      </c>
      <c r="D10" s="25">
        <f t="shared" si="9"/>
        <v>0</v>
      </c>
      <c r="E10" s="25">
        <f>E9*(1+Buffer)</f>
        <v>0</v>
      </c>
      <c r="F10" s="25">
        <f t="shared" si="9"/>
        <v>50.6</v>
      </c>
      <c r="G10" s="25">
        <f t="shared" si="9"/>
        <v>50.6</v>
      </c>
      <c r="H10" s="25">
        <f t="shared" si="9"/>
        <v>25.3</v>
      </c>
      <c r="I10" s="25">
        <f t="shared" si="9"/>
        <v>25.3</v>
      </c>
      <c r="J10" s="25">
        <f t="shared" ref="J10:K10" si="10">J9*1.15</f>
        <v>0</v>
      </c>
      <c r="K10" s="25">
        <f t="shared" si="10"/>
        <v>0</v>
      </c>
      <c r="L10" s="25">
        <f>L9*(1+Buffer)</f>
        <v>26.565000000000001</v>
      </c>
      <c r="M10" s="25">
        <f>M9*(1+Buffer)</f>
        <v>26.565000000000001</v>
      </c>
      <c r="N10" s="25">
        <f>N9*(1+Buffer)</f>
        <v>0</v>
      </c>
      <c r="O10" s="25">
        <f>O9*(1+Buffer)</f>
        <v>0</v>
      </c>
      <c r="P10" s="32"/>
    </row>
    <row r="11" spans="1:16" ht="15" thickTop="1" thickBot="1" x14ac:dyDescent="0.6">
      <c r="A11" s="11" t="s">
        <v>84</v>
      </c>
      <c r="B11" s="26">
        <f>B10/40</f>
        <v>2.5300000000000002</v>
      </c>
      <c r="C11" s="26">
        <f t="shared" ref="C11:O11" si="11">C10/40</f>
        <v>2.5300000000000002</v>
      </c>
      <c r="D11" s="26">
        <f t="shared" si="11"/>
        <v>0</v>
      </c>
      <c r="E11" s="26">
        <f t="shared" si="11"/>
        <v>0</v>
      </c>
      <c r="F11" s="26">
        <f t="shared" si="11"/>
        <v>1.2650000000000001</v>
      </c>
      <c r="G11" s="26">
        <f t="shared" si="11"/>
        <v>1.2650000000000001</v>
      </c>
      <c r="H11" s="26">
        <f t="shared" si="11"/>
        <v>0.63250000000000006</v>
      </c>
      <c r="I11" s="26">
        <f t="shared" si="11"/>
        <v>0.63250000000000006</v>
      </c>
      <c r="J11" s="26">
        <f t="shared" si="11"/>
        <v>0</v>
      </c>
      <c r="K11" s="26">
        <f t="shared" si="11"/>
        <v>0</v>
      </c>
      <c r="L11" s="26">
        <f t="shared" si="11"/>
        <v>0.66412500000000008</v>
      </c>
      <c r="M11" s="26">
        <f t="shared" si="11"/>
        <v>0.66412500000000008</v>
      </c>
      <c r="N11" s="26">
        <f t="shared" si="11"/>
        <v>0</v>
      </c>
      <c r="O11" s="26">
        <f t="shared" si="11"/>
        <v>0</v>
      </c>
      <c r="P11" s="32"/>
    </row>
    <row r="12" spans="1:16" ht="15" thickTop="1" thickBot="1" x14ac:dyDescent="0.6">
      <c r="A12" s="13" t="s">
        <v>85</v>
      </c>
      <c r="B12" s="1">
        <v>80</v>
      </c>
      <c r="C12" s="1">
        <v>80</v>
      </c>
      <c r="D12" s="1">
        <v>80</v>
      </c>
      <c r="E12" s="1">
        <v>80</v>
      </c>
      <c r="F12" s="1">
        <v>120</v>
      </c>
      <c r="G12" s="1">
        <v>120</v>
      </c>
      <c r="H12" s="1">
        <v>75</v>
      </c>
      <c r="I12" s="1">
        <v>75</v>
      </c>
      <c r="J12" s="1">
        <v>85</v>
      </c>
      <c r="K12" s="1">
        <v>85</v>
      </c>
      <c r="L12" s="1">
        <v>100</v>
      </c>
      <c r="M12" s="1">
        <v>100</v>
      </c>
      <c r="N12" s="1">
        <v>240</v>
      </c>
      <c r="O12" s="1">
        <v>240</v>
      </c>
      <c r="P12" s="34"/>
    </row>
    <row r="13" spans="1:16" ht="14.7" thickTop="1" x14ac:dyDescent="0.55000000000000004">
      <c r="A13" s="16" t="s">
        <v>86</v>
      </c>
      <c r="B13" s="21">
        <f>B12*B10</f>
        <v>8096</v>
      </c>
      <c r="C13" s="21">
        <f t="shared" ref="C13:N13" si="12">C12*C10</f>
        <v>8096</v>
      </c>
      <c r="D13" s="21">
        <f t="shared" si="12"/>
        <v>0</v>
      </c>
      <c r="E13" s="21">
        <f>E12*E10</f>
        <v>0</v>
      </c>
      <c r="F13" s="21">
        <f t="shared" si="12"/>
        <v>6072</v>
      </c>
      <c r="G13" s="21">
        <f t="shared" si="12"/>
        <v>6072</v>
      </c>
      <c r="H13" s="21">
        <f t="shared" si="12"/>
        <v>1897.5</v>
      </c>
      <c r="I13" s="21">
        <f t="shared" si="12"/>
        <v>1897.5</v>
      </c>
      <c r="J13" s="21">
        <f t="shared" si="12"/>
        <v>0</v>
      </c>
      <c r="K13" s="21">
        <f t="shared" si="12"/>
        <v>0</v>
      </c>
      <c r="L13" s="21">
        <f t="shared" si="12"/>
        <v>2656.5</v>
      </c>
      <c r="M13" s="21">
        <f t="shared" si="12"/>
        <v>2656.5</v>
      </c>
      <c r="N13" s="21">
        <f t="shared" si="12"/>
        <v>0</v>
      </c>
      <c r="O13" s="21">
        <f>O12*O10</f>
        <v>0</v>
      </c>
      <c r="P13" s="10"/>
    </row>
    <row r="14" spans="1:16" x14ac:dyDescent="0.55000000000000004">
      <c r="A14" s="11"/>
      <c r="B14" s="11"/>
      <c r="C14" s="11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10"/>
    </row>
    <row r="15" spans="1:16" x14ac:dyDescent="0.55000000000000004">
      <c r="A15" s="11"/>
      <c r="B15" s="11"/>
      <c r="C15" s="11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0"/>
    </row>
    <row r="16" spans="1:16" x14ac:dyDescent="0.55000000000000004">
      <c r="A16" s="16" t="s">
        <v>87</v>
      </c>
      <c r="B16" s="16"/>
      <c r="C16" s="16"/>
      <c r="D16" s="6"/>
      <c r="E16" s="6"/>
      <c r="F16" s="6" t="s">
        <v>88</v>
      </c>
      <c r="G16" s="6" t="s">
        <v>89</v>
      </c>
      <c r="H16" s="6" t="s">
        <v>90</v>
      </c>
      <c r="I16" s="6"/>
      <c r="J16" s="6"/>
      <c r="K16" s="6"/>
      <c r="L16" s="6"/>
      <c r="M16" s="6"/>
      <c r="N16" s="6"/>
      <c r="O16" s="6"/>
      <c r="P16" s="10"/>
    </row>
    <row r="17" spans="1:16" x14ac:dyDescent="0.55000000000000004">
      <c r="A17" s="10"/>
      <c r="B17" s="17"/>
      <c r="C17" s="17"/>
      <c r="D17" s="6"/>
      <c r="E17" s="6"/>
      <c r="F17" s="22">
        <f>SUM(D13,F13,H13,L13, B13,J13,N13)</f>
        <v>18722</v>
      </c>
      <c r="G17" s="22">
        <f>SUM(F17,H17)/2</f>
        <v>18722</v>
      </c>
      <c r="H17" s="22">
        <f>SUM(E13,G13,I13,M13, C13,K13,O13)</f>
        <v>18722</v>
      </c>
      <c r="I17" s="6"/>
      <c r="J17" s="6"/>
      <c r="K17" s="6"/>
      <c r="L17" s="6"/>
      <c r="M17" s="6"/>
      <c r="N17" s="6"/>
      <c r="O17" s="6"/>
      <c r="P17" s="10"/>
    </row>
    <row r="18" spans="1:16" x14ac:dyDescent="0.55000000000000004">
      <c r="A18" s="10"/>
      <c r="B18" s="10"/>
      <c r="C18" s="10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10"/>
    </row>
    <row r="19" spans="1:16" x14ac:dyDescent="0.55000000000000004">
      <c r="A19" s="6"/>
      <c r="B19" s="10"/>
      <c r="C19" s="10"/>
      <c r="D19" s="6"/>
      <c r="E19" s="6" t="s">
        <v>104</v>
      </c>
      <c r="F19" s="6" t="s">
        <v>105</v>
      </c>
      <c r="G19" s="6" t="s">
        <v>115</v>
      </c>
      <c r="H19" s="6"/>
      <c r="I19" s="6"/>
      <c r="J19" s="6"/>
      <c r="K19" s="6"/>
      <c r="L19" s="6"/>
      <c r="M19" s="6"/>
      <c r="N19" s="6"/>
      <c r="O19" s="6"/>
      <c r="P19" s="10"/>
    </row>
    <row r="20" spans="1:16" x14ac:dyDescent="0.55000000000000004">
      <c r="A20" s="10"/>
      <c r="B20" s="10"/>
      <c r="C20" s="10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10"/>
    </row>
    <row r="21" spans="1:16" x14ac:dyDescent="0.55000000000000004">
      <c r="A21" s="10"/>
      <c r="B21" s="10"/>
      <c r="C21" s="10"/>
      <c r="D21" s="15"/>
      <c r="E21" s="15"/>
      <c r="F21" s="6"/>
      <c r="G21" s="6"/>
      <c r="H21" s="6"/>
      <c r="I21" s="6"/>
      <c r="J21" s="6"/>
      <c r="K21" s="6"/>
      <c r="L21" s="6"/>
      <c r="M21" s="6"/>
      <c r="N21" s="6"/>
      <c r="O21" s="6"/>
      <c r="P21" s="10"/>
    </row>
    <row r="22" spans="1:16" x14ac:dyDescent="0.55000000000000004">
      <c r="A22" s="10"/>
      <c r="B22" s="10"/>
      <c r="C22" s="10"/>
      <c r="D22" s="18"/>
      <c r="E22" s="19"/>
      <c r="F22" s="6" t="s">
        <v>89</v>
      </c>
      <c r="G22" s="6" t="s">
        <v>107</v>
      </c>
      <c r="H22" s="6" t="s">
        <v>108</v>
      </c>
      <c r="I22" s="6" t="s">
        <v>116</v>
      </c>
      <c r="J22" s="6"/>
      <c r="K22" s="6"/>
      <c r="L22" s="6"/>
      <c r="M22" s="6"/>
      <c r="N22" s="6"/>
      <c r="O22" s="6"/>
      <c r="P22" s="10"/>
    </row>
    <row r="23" spans="1:16" x14ac:dyDescent="0.55000000000000004">
      <c r="A23" s="10"/>
      <c r="B23" s="10"/>
      <c r="C23" s="10"/>
      <c r="D23" s="15"/>
      <c r="E23" s="15"/>
      <c r="F23" s="46" cm="1">
        <f t="array" ref="F23">Table27911[Mid]*0.95</f>
        <v>17785.899999999998</v>
      </c>
      <c r="G23" s="46">
        <f>F23-25000</f>
        <v>-7214.1000000000022</v>
      </c>
      <c r="H23" s="47">
        <v>18000</v>
      </c>
      <c r="I23" s="46">
        <f>G23-H23</f>
        <v>-25214.100000000002</v>
      </c>
      <c r="J23" s="6"/>
      <c r="K23" s="6"/>
      <c r="L23" s="6"/>
      <c r="M23" s="6"/>
      <c r="N23" s="6"/>
      <c r="O23" s="6"/>
      <c r="P23" s="10"/>
    </row>
    <row r="24" spans="1:16" x14ac:dyDescent="0.55000000000000004">
      <c r="A24" s="10"/>
      <c r="B24" s="10"/>
      <c r="C24" s="10"/>
      <c r="D24" s="18"/>
      <c r="E24" s="18"/>
      <c r="F24" s="6"/>
      <c r="G24" s="6"/>
      <c r="H24" s="6"/>
      <c r="I24" s="6"/>
      <c r="J24" s="6"/>
      <c r="K24" s="6"/>
      <c r="L24" s="6"/>
      <c r="M24" s="6"/>
      <c r="N24" s="6"/>
      <c r="O24" s="6"/>
      <c r="P24" s="10"/>
    </row>
    <row r="25" spans="1:16" x14ac:dyDescent="0.55000000000000004">
      <c r="A25" s="10"/>
      <c r="B25" s="10"/>
      <c r="C25" s="10"/>
      <c r="D25" s="15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10"/>
    </row>
    <row r="26" spans="1:16" x14ac:dyDescent="0.55000000000000004">
      <c r="A26" s="10"/>
      <c r="B26" s="10"/>
      <c r="C26" s="10"/>
      <c r="D26" s="3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10"/>
    </row>
    <row r="27" spans="1:16" x14ac:dyDescent="0.55000000000000004">
      <c r="A27" s="10"/>
      <c r="B27" s="10"/>
      <c r="C27" s="10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10"/>
    </row>
    <row r="28" spans="1:16" x14ac:dyDescent="0.55000000000000004">
      <c r="A28" s="10"/>
      <c r="B28" s="10"/>
      <c r="C28" s="10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10"/>
    </row>
    <row r="29" spans="1:16" x14ac:dyDescent="0.55000000000000004">
      <c r="A29" s="10"/>
      <c r="B29" s="10"/>
      <c r="C29" s="10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10"/>
    </row>
    <row r="30" spans="1:16" x14ac:dyDescent="0.55000000000000004">
      <c r="A30" s="10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10"/>
    </row>
    <row r="31" spans="1:16" x14ac:dyDescent="0.55000000000000004">
      <c r="A31" s="10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10"/>
    </row>
    <row r="32" spans="1:16" x14ac:dyDescent="0.55000000000000004">
      <c r="A32" s="10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10"/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FE9E-245D-43F3-B149-8DB464CDDFC4}">
  <dimension ref="B3:B11"/>
  <sheetViews>
    <sheetView workbookViewId="0">
      <selection activeCell="B13" sqref="B13"/>
    </sheetView>
  </sheetViews>
  <sheetFormatPr defaultRowHeight="14.4" x14ac:dyDescent="0.55000000000000004"/>
  <cols>
    <col min="2" max="2" width="106.41796875" bestFit="1" customWidth="1"/>
  </cols>
  <sheetData>
    <row r="3" spans="2:2" x14ac:dyDescent="0.55000000000000004">
      <c r="B3" t="s">
        <v>117</v>
      </c>
    </row>
    <row r="4" spans="2:2" x14ac:dyDescent="0.55000000000000004">
      <c r="B4" t="s">
        <v>118</v>
      </c>
    </row>
    <row r="5" spans="2:2" x14ac:dyDescent="0.55000000000000004">
      <c r="B5" t="s">
        <v>119</v>
      </c>
    </row>
    <row r="6" spans="2:2" x14ac:dyDescent="0.55000000000000004">
      <c r="B6" t="s">
        <v>120</v>
      </c>
    </row>
    <row r="9" spans="2:2" x14ac:dyDescent="0.55000000000000004">
      <c r="B9" t="s">
        <v>121</v>
      </c>
    </row>
    <row r="10" spans="2:2" x14ac:dyDescent="0.55000000000000004">
      <c r="B10" t="s">
        <v>122</v>
      </c>
    </row>
    <row r="11" spans="2:2" x14ac:dyDescent="0.55000000000000004">
      <c r="B11" t="s">
        <v>123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92CE8-3BE8-4217-A584-4EA332A2DEF5}">
  <dimension ref="A1:N42"/>
  <sheetViews>
    <sheetView workbookViewId="0">
      <selection activeCell="A9" sqref="A9"/>
    </sheetView>
  </sheetViews>
  <sheetFormatPr defaultRowHeight="14.4" x14ac:dyDescent="0.55000000000000004"/>
  <cols>
    <col min="1" max="1" width="71.26171875" bestFit="1" customWidth="1"/>
  </cols>
  <sheetData>
    <row r="1" spans="1:14" x14ac:dyDescent="0.55000000000000004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10"/>
    </row>
    <row r="2" spans="1:14" x14ac:dyDescent="0.5500000000000000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124</v>
      </c>
      <c r="I2" s="3" t="s">
        <v>125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15</v>
      </c>
    </row>
    <row r="3" spans="1:14" x14ac:dyDescent="0.55000000000000004">
      <c r="A3" s="4"/>
      <c r="B3" s="4">
        <f>SUM(B4:B17)</f>
        <v>47</v>
      </c>
      <c r="C3" s="4">
        <f>SUM(C4:C17)</f>
        <v>76</v>
      </c>
      <c r="D3" s="4">
        <f>SUM(D4:D17)</f>
        <v>40</v>
      </c>
      <c r="E3" s="4">
        <f>SUM(E4:E17)</f>
        <v>66</v>
      </c>
      <c r="F3" s="4">
        <f t="shared" ref="F3:K3" si="0">SUM(F4:F9)</f>
        <v>12</v>
      </c>
      <c r="G3" s="4">
        <f t="shared" si="0"/>
        <v>15.5</v>
      </c>
      <c r="H3" s="4">
        <f>SUM(H4:H9)</f>
        <v>19</v>
      </c>
      <c r="I3" s="4">
        <f t="shared" si="0"/>
        <v>26</v>
      </c>
      <c r="J3" s="4">
        <f t="shared" si="0"/>
        <v>0</v>
      </c>
      <c r="K3" s="4">
        <f t="shared" si="0"/>
        <v>0</v>
      </c>
      <c r="L3" s="4"/>
      <c r="M3" s="4"/>
      <c r="N3" s="5"/>
    </row>
    <row r="4" spans="1:14" x14ac:dyDescent="0.55000000000000004">
      <c r="A4" s="7" t="s">
        <v>16</v>
      </c>
      <c r="B4" s="6">
        <v>8</v>
      </c>
      <c r="C4" s="6">
        <v>8</v>
      </c>
      <c r="D4" s="6">
        <v>8</v>
      </c>
      <c r="E4" s="6">
        <v>8</v>
      </c>
      <c r="F4" s="20">
        <v>2</v>
      </c>
      <c r="G4" s="20">
        <v>4</v>
      </c>
      <c r="H4" s="20">
        <v>8</v>
      </c>
      <c r="I4" s="20">
        <v>8</v>
      </c>
      <c r="J4" s="8"/>
      <c r="K4" s="8"/>
      <c r="L4" s="20"/>
      <c r="M4" s="20"/>
      <c r="N4" s="8"/>
    </row>
    <row r="5" spans="1:14" x14ac:dyDescent="0.55000000000000004">
      <c r="A5" s="7" t="s">
        <v>19</v>
      </c>
      <c r="B5" s="6">
        <v>8</v>
      </c>
      <c r="C5" s="6">
        <v>16</v>
      </c>
      <c r="D5" s="6">
        <v>8</v>
      </c>
      <c r="E5" s="6">
        <v>16</v>
      </c>
      <c r="F5" s="20">
        <f>SUM(B5,D5,D5)/8</f>
        <v>3</v>
      </c>
      <c r="G5" s="20">
        <f>SUM(C5,E5)/8</f>
        <v>4</v>
      </c>
      <c r="H5" s="20">
        <f t="shared" ref="H5:I8" si="1">SUM(B5,D5)*QA</f>
        <v>4</v>
      </c>
      <c r="I5" s="20">
        <f t="shared" si="1"/>
        <v>8</v>
      </c>
      <c r="J5" s="8"/>
      <c r="K5" s="8"/>
      <c r="L5" s="20"/>
      <c r="M5" s="20"/>
      <c r="N5" s="8"/>
    </row>
    <row r="6" spans="1:14" x14ac:dyDescent="0.55000000000000004">
      <c r="A6" t="s">
        <v>126</v>
      </c>
      <c r="B6" s="6">
        <v>12</v>
      </c>
      <c r="C6" s="6">
        <v>16</v>
      </c>
      <c r="D6" s="6"/>
      <c r="E6" s="6"/>
      <c r="F6" s="20">
        <f t="shared" ref="F6:F15" si="2">SUM(B6,D6,D6)/8</f>
        <v>1.5</v>
      </c>
      <c r="G6" s="20">
        <f t="shared" ref="G6:G15" si="3">SUM(C6,E6)/8</f>
        <v>2</v>
      </c>
      <c r="H6" s="20">
        <f t="shared" si="1"/>
        <v>3</v>
      </c>
      <c r="I6" s="20">
        <f t="shared" si="1"/>
        <v>4</v>
      </c>
      <c r="J6" s="8"/>
      <c r="K6" s="8"/>
      <c r="L6" s="20"/>
      <c r="M6" s="20"/>
      <c r="N6" s="8"/>
    </row>
    <row r="7" spans="1:14" x14ac:dyDescent="0.55000000000000004">
      <c r="A7" t="s">
        <v>127</v>
      </c>
      <c r="B7" s="6">
        <v>12</v>
      </c>
      <c r="C7" s="6">
        <v>16</v>
      </c>
      <c r="D7" s="6"/>
      <c r="E7" s="6"/>
      <c r="F7" s="20">
        <f t="shared" si="2"/>
        <v>1.5</v>
      </c>
      <c r="G7" s="20">
        <f t="shared" si="3"/>
        <v>2</v>
      </c>
      <c r="H7" s="20">
        <f t="shared" si="1"/>
        <v>3</v>
      </c>
      <c r="I7" s="20">
        <f t="shared" si="1"/>
        <v>4</v>
      </c>
      <c r="J7" s="8"/>
      <c r="K7" s="8"/>
      <c r="L7" s="20"/>
      <c r="M7" s="20"/>
      <c r="N7" s="8"/>
    </row>
    <row r="8" spans="1:14" x14ac:dyDescent="0.55000000000000004">
      <c r="A8" t="s">
        <v>128</v>
      </c>
      <c r="B8" s="6"/>
      <c r="C8" s="6"/>
      <c r="D8" s="6">
        <v>4</v>
      </c>
      <c r="E8" s="6">
        <v>8</v>
      </c>
      <c r="F8" s="20">
        <f t="shared" si="2"/>
        <v>1</v>
      </c>
      <c r="G8" s="20">
        <f t="shared" si="3"/>
        <v>1</v>
      </c>
      <c r="H8" s="20">
        <f t="shared" si="1"/>
        <v>1</v>
      </c>
      <c r="I8" s="20">
        <f t="shared" si="1"/>
        <v>2</v>
      </c>
      <c r="J8" s="8"/>
      <c r="K8" s="8"/>
      <c r="L8" s="20"/>
      <c r="M8" s="20"/>
      <c r="N8" s="8"/>
    </row>
    <row r="9" spans="1:14" x14ac:dyDescent="0.55000000000000004">
      <c r="A9" t="s">
        <v>129</v>
      </c>
      <c r="B9" s="6"/>
      <c r="C9" s="6"/>
      <c r="D9" s="6">
        <v>12</v>
      </c>
      <c r="E9" s="6">
        <v>20</v>
      </c>
      <c r="F9" s="20">
        <f t="shared" si="2"/>
        <v>3</v>
      </c>
      <c r="G9" s="20">
        <f t="shared" si="3"/>
        <v>2.5</v>
      </c>
      <c r="H9" s="20"/>
      <c r="I9" s="20"/>
      <c r="J9" s="6"/>
      <c r="K9" s="6"/>
      <c r="L9" s="20"/>
      <c r="M9" s="20"/>
      <c r="N9" s="10"/>
    </row>
    <row r="10" spans="1:14" x14ac:dyDescent="0.55000000000000004">
      <c r="A10" s="11" t="s">
        <v>130</v>
      </c>
      <c r="B10" s="6"/>
      <c r="C10" s="6"/>
      <c r="D10" s="11">
        <v>2</v>
      </c>
      <c r="E10" s="6">
        <v>3</v>
      </c>
      <c r="F10" s="20">
        <v>2</v>
      </c>
      <c r="G10" s="20">
        <v>4</v>
      </c>
      <c r="H10" s="20"/>
      <c r="I10" s="20"/>
      <c r="J10" s="6"/>
      <c r="K10" s="6"/>
      <c r="L10" s="20"/>
      <c r="M10" s="20"/>
      <c r="N10" s="10"/>
    </row>
    <row r="11" spans="1:14" x14ac:dyDescent="0.55000000000000004">
      <c r="A11" s="11" t="s">
        <v>131</v>
      </c>
      <c r="B11" s="6"/>
      <c r="C11" s="6"/>
      <c r="D11" s="11"/>
      <c r="E11" s="6"/>
      <c r="F11" s="20">
        <v>1</v>
      </c>
      <c r="G11" s="20">
        <v>1</v>
      </c>
      <c r="H11" s="20"/>
      <c r="I11" s="20"/>
      <c r="J11" s="6"/>
      <c r="K11" s="6"/>
      <c r="L11" s="20"/>
      <c r="M11" s="20"/>
      <c r="N11" s="10"/>
    </row>
    <row r="12" spans="1:14" x14ac:dyDescent="0.55000000000000004">
      <c r="A12" t="s">
        <v>132</v>
      </c>
      <c r="B12" s="6">
        <v>1</v>
      </c>
      <c r="C12" s="6">
        <v>1</v>
      </c>
      <c r="D12" s="6"/>
      <c r="E12" s="6"/>
      <c r="F12" s="20">
        <v>0.5</v>
      </c>
      <c r="G12" s="20">
        <v>1</v>
      </c>
      <c r="H12" s="20"/>
      <c r="I12" s="20"/>
      <c r="J12" s="6"/>
      <c r="K12" s="6"/>
      <c r="L12" s="20"/>
      <c r="M12" s="20"/>
      <c r="N12" s="10"/>
    </row>
    <row r="13" spans="1:14" x14ac:dyDescent="0.55000000000000004">
      <c r="A13" s="11" t="s">
        <v>133</v>
      </c>
      <c r="B13" s="6">
        <v>4</v>
      </c>
      <c r="C13" s="6">
        <v>16</v>
      </c>
      <c r="D13" s="6">
        <v>4</v>
      </c>
      <c r="E13" s="6">
        <v>8</v>
      </c>
      <c r="F13" s="20">
        <f t="shared" si="2"/>
        <v>1.5</v>
      </c>
      <c r="G13" s="20">
        <f t="shared" si="3"/>
        <v>3</v>
      </c>
      <c r="H13" s="20"/>
      <c r="I13" s="20"/>
      <c r="J13" s="6"/>
      <c r="K13" s="6"/>
      <c r="L13" s="20"/>
      <c r="M13" s="20"/>
      <c r="N13" s="10"/>
    </row>
    <row r="14" spans="1:14" x14ac:dyDescent="0.55000000000000004">
      <c r="A14" s="11" t="s">
        <v>64</v>
      </c>
      <c r="B14" s="6">
        <v>2</v>
      </c>
      <c r="C14" s="6">
        <v>3</v>
      </c>
      <c r="D14" s="6">
        <v>2</v>
      </c>
      <c r="E14" s="6">
        <v>3</v>
      </c>
      <c r="F14" s="20">
        <f t="shared" si="2"/>
        <v>0.75</v>
      </c>
      <c r="G14" s="20">
        <f t="shared" si="3"/>
        <v>0.75</v>
      </c>
      <c r="H14" s="6"/>
      <c r="I14" s="6"/>
      <c r="J14" s="6"/>
      <c r="K14" s="6"/>
      <c r="L14" s="20"/>
      <c r="M14" s="20"/>
      <c r="N14" s="10"/>
    </row>
    <row r="15" spans="1:14" x14ac:dyDescent="0.55000000000000004">
      <c r="A15" s="6" t="s">
        <v>74</v>
      </c>
      <c r="B15" s="6"/>
      <c r="C15" s="6"/>
      <c r="D15" s="6"/>
      <c r="E15" s="6"/>
      <c r="F15" s="20">
        <f t="shared" si="2"/>
        <v>0</v>
      </c>
      <c r="G15" s="20">
        <f t="shared" si="3"/>
        <v>0</v>
      </c>
      <c r="H15" s="6"/>
      <c r="I15" s="6"/>
      <c r="J15" s="6"/>
      <c r="K15" s="6"/>
      <c r="L15" s="20"/>
      <c r="M15" s="20"/>
      <c r="N15" s="10"/>
    </row>
    <row r="16" spans="1:14" x14ac:dyDescent="0.55000000000000004">
      <c r="A16" s="11" t="s">
        <v>75</v>
      </c>
      <c r="B16" s="6"/>
      <c r="C16" s="6"/>
      <c r="D16" s="6"/>
      <c r="E16" s="6"/>
      <c r="F16" s="20"/>
      <c r="G16" s="20"/>
      <c r="H16" s="6"/>
      <c r="I16" s="6"/>
      <c r="J16" s="6"/>
      <c r="K16" s="6"/>
      <c r="L16" s="20"/>
      <c r="M16" s="20"/>
      <c r="N16" s="10"/>
    </row>
    <row r="17" spans="1:14" x14ac:dyDescent="0.55000000000000004">
      <c r="A17" s="11" t="s">
        <v>77</v>
      </c>
      <c r="B17" s="6"/>
      <c r="C17" s="6"/>
      <c r="D17" s="6"/>
      <c r="E17" s="6"/>
      <c r="F17" s="20"/>
      <c r="G17" s="20"/>
      <c r="H17" s="6"/>
      <c r="I17" s="6"/>
      <c r="J17" s="6"/>
      <c r="K17" s="6"/>
      <c r="L17" s="20"/>
      <c r="M17" s="20"/>
      <c r="N17" s="10"/>
    </row>
    <row r="18" spans="1:14" x14ac:dyDescent="0.55000000000000004">
      <c r="A18" s="11" t="s">
        <v>78</v>
      </c>
      <c r="B18" s="6"/>
      <c r="C18" s="6"/>
      <c r="D18" s="6"/>
      <c r="E18" s="6"/>
      <c r="F18" s="20"/>
      <c r="G18" s="20"/>
      <c r="H18" s="6"/>
      <c r="I18" s="6"/>
      <c r="J18" s="6"/>
      <c r="K18" s="6"/>
      <c r="L18" s="20"/>
      <c r="M18" s="20"/>
      <c r="N18" s="10"/>
    </row>
    <row r="19" spans="1:14" x14ac:dyDescent="0.55000000000000004">
      <c r="A19" s="12" t="s">
        <v>80</v>
      </c>
      <c r="B19" s="23">
        <f t="shared" ref="B19:M19" si="4">SUM(B4:B18)</f>
        <v>47</v>
      </c>
      <c r="C19" s="23">
        <f t="shared" si="4"/>
        <v>76</v>
      </c>
      <c r="D19" s="23">
        <f t="shared" si="4"/>
        <v>40</v>
      </c>
      <c r="E19" s="23">
        <f t="shared" si="4"/>
        <v>66</v>
      </c>
      <c r="F19" s="23">
        <f t="shared" si="4"/>
        <v>17.75</v>
      </c>
      <c r="G19" s="23">
        <f t="shared" si="4"/>
        <v>25.25</v>
      </c>
      <c r="H19" s="23">
        <f t="shared" si="4"/>
        <v>19</v>
      </c>
      <c r="I19" s="23">
        <f t="shared" si="4"/>
        <v>26</v>
      </c>
      <c r="J19" s="23">
        <f t="shared" si="4"/>
        <v>0</v>
      </c>
      <c r="K19" s="23">
        <f t="shared" si="4"/>
        <v>0</v>
      </c>
      <c r="L19" s="23">
        <f t="shared" si="4"/>
        <v>0</v>
      </c>
      <c r="M19" s="23">
        <f t="shared" si="4"/>
        <v>0</v>
      </c>
      <c r="N19" s="10"/>
    </row>
    <row r="20" spans="1:14" x14ac:dyDescent="0.55000000000000004">
      <c r="A20" s="11" t="s">
        <v>81</v>
      </c>
      <c r="B20" s="20">
        <f t="shared" ref="B20:M20" si="5">Agile*B19</f>
        <v>7.05</v>
      </c>
      <c r="C20" s="20">
        <f t="shared" si="5"/>
        <v>11.4</v>
      </c>
      <c r="D20" s="20">
        <f t="shared" si="5"/>
        <v>6</v>
      </c>
      <c r="E20" s="20">
        <f t="shared" si="5"/>
        <v>9.9</v>
      </c>
      <c r="F20" s="20">
        <f t="shared" si="5"/>
        <v>2.6625000000000001</v>
      </c>
      <c r="G20" s="20">
        <f t="shared" si="5"/>
        <v>3.7874999999999996</v>
      </c>
      <c r="H20" s="20">
        <f t="shared" si="5"/>
        <v>2.85</v>
      </c>
      <c r="I20" s="20">
        <f t="shared" si="5"/>
        <v>3.9</v>
      </c>
      <c r="J20" s="20">
        <f t="shared" si="5"/>
        <v>0</v>
      </c>
      <c r="K20" s="20">
        <f t="shared" si="5"/>
        <v>0</v>
      </c>
      <c r="L20" s="20">
        <f t="shared" si="5"/>
        <v>0</v>
      </c>
      <c r="M20" s="20">
        <f t="shared" si="5"/>
        <v>0</v>
      </c>
      <c r="N20" s="10"/>
    </row>
    <row r="21" spans="1:14" x14ac:dyDescent="0.55000000000000004">
      <c r="A21" s="11" t="s">
        <v>82</v>
      </c>
      <c r="B21" s="20">
        <f t="shared" ref="B21:C21" si="6">SUM(B19:B20)</f>
        <v>54.05</v>
      </c>
      <c r="C21" s="20">
        <f t="shared" si="6"/>
        <v>87.4</v>
      </c>
      <c r="D21" s="20">
        <f>SUM(D19:D20)</f>
        <v>46</v>
      </c>
      <c r="E21" s="20">
        <f t="shared" ref="E21:M21" si="7">SUM(E19:E20)</f>
        <v>75.900000000000006</v>
      </c>
      <c r="F21" s="20">
        <f t="shared" si="7"/>
        <v>20.412500000000001</v>
      </c>
      <c r="G21" s="20">
        <f t="shared" si="7"/>
        <v>29.037500000000001</v>
      </c>
      <c r="H21" s="20">
        <f t="shared" si="7"/>
        <v>21.85</v>
      </c>
      <c r="I21" s="20">
        <f t="shared" si="7"/>
        <v>29.9</v>
      </c>
      <c r="J21" s="20">
        <f t="shared" si="7"/>
        <v>0</v>
      </c>
      <c r="K21" s="20">
        <f t="shared" si="7"/>
        <v>0</v>
      </c>
      <c r="L21" s="20">
        <f t="shared" si="7"/>
        <v>0</v>
      </c>
      <c r="M21" s="20">
        <f t="shared" si="7"/>
        <v>0</v>
      </c>
      <c r="N21" s="10"/>
    </row>
    <row r="22" spans="1:14" x14ac:dyDescent="0.55000000000000004">
      <c r="A22" s="13" t="s">
        <v>85</v>
      </c>
      <c r="B22" s="1">
        <v>85</v>
      </c>
      <c r="C22" s="1">
        <v>85</v>
      </c>
      <c r="D22" s="1">
        <v>85</v>
      </c>
      <c r="E22" s="1">
        <v>85</v>
      </c>
      <c r="F22" s="1">
        <v>95</v>
      </c>
      <c r="G22" s="1">
        <v>95</v>
      </c>
      <c r="H22" s="1">
        <v>55</v>
      </c>
      <c r="I22" s="1">
        <v>55</v>
      </c>
      <c r="J22" s="1">
        <v>55</v>
      </c>
      <c r="K22" s="1">
        <v>55</v>
      </c>
      <c r="L22" s="1">
        <v>95</v>
      </c>
      <c r="M22" s="1">
        <v>95</v>
      </c>
      <c r="N22" s="14"/>
    </row>
    <row r="23" spans="1:14" x14ac:dyDescent="0.55000000000000004">
      <c r="A23" s="16" t="s">
        <v>86</v>
      </c>
      <c r="B23" s="21">
        <f>B22*B21</f>
        <v>4594.25</v>
      </c>
      <c r="C23" s="21">
        <f t="shared" ref="C23" si="8">C22*C21</f>
        <v>7429.0000000000009</v>
      </c>
      <c r="D23" s="21">
        <f>D22*D21</f>
        <v>3910</v>
      </c>
      <c r="E23" s="21">
        <f t="shared" ref="E23:M23" si="9">E22*E21</f>
        <v>6451.5000000000009</v>
      </c>
      <c r="F23" s="21">
        <f t="shared" si="9"/>
        <v>1939.1875000000002</v>
      </c>
      <c r="G23" s="21">
        <f t="shared" si="9"/>
        <v>2758.5625</v>
      </c>
      <c r="H23" s="21">
        <f t="shared" si="9"/>
        <v>1201.75</v>
      </c>
      <c r="I23" s="21">
        <f t="shared" si="9"/>
        <v>1644.5</v>
      </c>
      <c r="J23" s="21">
        <f t="shared" si="9"/>
        <v>0</v>
      </c>
      <c r="K23" s="21">
        <f t="shared" si="9"/>
        <v>0</v>
      </c>
      <c r="L23" s="21">
        <f t="shared" si="9"/>
        <v>0</v>
      </c>
      <c r="M23" s="21">
        <f t="shared" si="9"/>
        <v>0</v>
      </c>
      <c r="N23" s="10"/>
    </row>
    <row r="24" spans="1:14" x14ac:dyDescent="0.55000000000000004">
      <c r="A24" s="11"/>
      <c r="B24" s="11"/>
      <c r="C24" s="11"/>
      <c r="D24" s="6"/>
      <c r="E24" s="6"/>
      <c r="F24" s="6"/>
      <c r="G24" s="6"/>
      <c r="H24" s="6"/>
      <c r="I24" s="6"/>
      <c r="J24" s="6"/>
      <c r="K24" s="6"/>
      <c r="L24" s="6"/>
      <c r="M24" s="6"/>
      <c r="N24" s="10"/>
    </row>
    <row r="25" spans="1:14" x14ac:dyDescent="0.55000000000000004">
      <c r="A25" s="11"/>
      <c r="B25" s="11"/>
      <c r="C25" s="11"/>
      <c r="D25" s="6"/>
      <c r="E25" s="6"/>
      <c r="F25" s="6"/>
      <c r="G25" s="6"/>
      <c r="H25" s="6"/>
      <c r="I25" s="6"/>
      <c r="J25" s="6"/>
      <c r="K25" s="6"/>
      <c r="L25" s="6"/>
      <c r="M25" s="6"/>
      <c r="N25" s="10"/>
    </row>
    <row r="26" spans="1:14" x14ac:dyDescent="0.55000000000000004">
      <c r="A26" s="16" t="s">
        <v>87</v>
      </c>
      <c r="B26" s="16"/>
      <c r="C26" s="16"/>
      <c r="D26" s="6"/>
      <c r="E26" s="6"/>
      <c r="F26" s="6" t="s">
        <v>88</v>
      </c>
      <c r="G26" s="6" t="s">
        <v>89</v>
      </c>
      <c r="H26" s="6" t="s">
        <v>90</v>
      </c>
      <c r="I26" s="6"/>
      <c r="J26" s="6"/>
      <c r="K26" s="6"/>
      <c r="L26" s="6"/>
      <c r="M26" s="6"/>
      <c r="N26" s="10"/>
    </row>
    <row r="27" spans="1:14" x14ac:dyDescent="0.55000000000000004">
      <c r="A27" t="s">
        <v>134</v>
      </c>
      <c r="B27" s="17"/>
      <c r="C27" s="17"/>
      <c r="D27" s="6"/>
      <c r="E27" s="6"/>
      <c r="F27" s="22">
        <f>SUM(D23,F23,H23,L23, B23,J23)</f>
        <v>11645.1875</v>
      </c>
      <c r="G27" s="22">
        <f>SUM(F27,H27)/2</f>
        <v>14964.375</v>
      </c>
      <c r="H27" s="22">
        <f>SUM(E23,G23,I23,M23, C23,K23)</f>
        <v>18283.5625</v>
      </c>
      <c r="I27" s="6"/>
      <c r="J27" s="6"/>
      <c r="K27" s="6"/>
      <c r="L27" s="6"/>
      <c r="M27" s="6"/>
      <c r="N27" s="10"/>
    </row>
    <row r="28" spans="1:14" x14ac:dyDescent="0.55000000000000004">
      <c r="A28" t="s">
        <v>135</v>
      </c>
      <c r="B28" s="10"/>
      <c r="C28" s="10"/>
      <c r="D28" s="6"/>
      <c r="E28" s="6"/>
      <c r="F28" s="6"/>
      <c r="G28" s="6"/>
      <c r="H28" s="6"/>
      <c r="I28" s="6"/>
      <c r="J28" s="6"/>
      <c r="K28" s="6"/>
      <c r="L28" s="6"/>
      <c r="M28" s="6"/>
      <c r="N28" s="10"/>
    </row>
    <row r="29" spans="1:14" x14ac:dyDescent="0.55000000000000004">
      <c r="A29" t="s">
        <v>136</v>
      </c>
      <c r="B29" s="10"/>
      <c r="C29" s="10"/>
      <c r="D29" s="6"/>
      <c r="E29" s="6"/>
      <c r="F29" s="6"/>
      <c r="G29" s="6"/>
      <c r="H29" s="6"/>
      <c r="I29" s="6"/>
      <c r="J29" s="6"/>
      <c r="K29" s="6"/>
      <c r="L29" s="6"/>
      <c r="M29" s="6"/>
      <c r="N29" s="10"/>
    </row>
    <row r="30" spans="1:14" x14ac:dyDescent="0.55000000000000004">
      <c r="A30" s="10" t="s">
        <v>137</v>
      </c>
      <c r="B30" s="10"/>
      <c r="C30" s="10"/>
      <c r="D30" s="6"/>
      <c r="E30" s="6"/>
      <c r="F30" s="6"/>
      <c r="G30" s="6"/>
      <c r="H30" s="6"/>
      <c r="I30" s="6"/>
      <c r="J30" s="6"/>
      <c r="K30" s="6"/>
      <c r="L30" s="6"/>
      <c r="M30" s="6"/>
      <c r="N30" s="10"/>
    </row>
    <row r="31" spans="1:14" x14ac:dyDescent="0.55000000000000004">
      <c r="A31" s="10" t="s">
        <v>138</v>
      </c>
      <c r="B31" s="10"/>
      <c r="C31" s="10"/>
      <c r="D31" s="15" t="s">
        <v>81</v>
      </c>
      <c r="E31" s="15" t="s">
        <v>96</v>
      </c>
      <c r="F31" s="6"/>
      <c r="G31" s="6"/>
      <c r="H31" s="6"/>
      <c r="I31" s="6"/>
      <c r="J31" s="6"/>
      <c r="K31" s="6"/>
      <c r="L31" s="6"/>
      <c r="M31" s="6"/>
      <c r="N31" s="10"/>
    </row>
    <row r="32" spans="1:14" x14ac:dyDescent="0.55000000000000004">
      <c r="A32" s="10" t="s">
        <v>139</v>
      </c>
      <c r="B32" s="10"/>
      <c r="C32" s="10"/>
      <c r="D32" s="18">
        <v>0.15</v>
      </c>
      <c r="E32" s="19">
        <v>0.25</v>
      </c>
      <c r="F32" s="6"/>
      <c r="G32" s="6"/>
      <c r="H32" s="6"/>
      <c r="I32" s="6"/>
      <c r="J32" s="6"/>
      <c r="K32" s="6"/>
      <c r="L32" s="6"/>
      <c r="M32" s="6"/>
      <c r="N32" s="10"/>
    </row>
    <row r="33" spans="1:14" x14ac:dyDescent="0.55000000000000004">
      <c r="A33" s="10" t="s">
        <v>140</v>
      </c>
      <c r="B33" s="10"/>
      <c r="C33" s="10"/>
      <c r="D33" s="15" t="s">
        <v>97</v>
      </c>
      <c r="E33" s="6"/>
      <c r="F33" s="6"/>
      <c r="G33" s="6"/>
      <c r="H33" s="6"/>
      <c r="I33" s="6"/>
      <c r="J33" s="6"/>
      <c r="K33" s="6"/>
      <c r="L33" s="6"/>
      <c r="M33" s="6"/>
      <c r="N33" s="10"/>
    </row>
    <row r="34" spans="1:14" x14ac:dyDescent="0.55000000000000004">
      <c r="A34" s="10" t="s">
        <v>141</v>
      </c>
      <c r="B34" s="10"/>
      <c r="C34" s="10"/>
      <c r="D34" s="18">
        <v>0.15</v>
      </c>
      <c r="E34" s="6"/>
      <c r="F34" s="6"/>
      <c r="G34" s="6"/>
      <c r="H34" s="6"/>
      <c r="I34" s="6"/>
      <c r="J34" s="6"/>
      <c r="K34" s="6"/>
      <c r="L34" s="6"/>
      <c r="M34" s="6"/>
      <c r="N34" s="10"/>
    </row>
    <row r="35" spans="1:14" x14ac:dyDescent="0.55000000000000004">
      <c r="A35" s="10"/>
      <c r="B35" s="10"/>
      <c r="C35" s="10"/>
      <c r="D35" s="6"/>
      <c r="E35" s="6"/>
      <c r="F35" s="6"/>
      <c r="G35" s="6"/>
      <c r="H35" s="6"/>
      <c r="I35" s="6"/>
      <c r="J35" s="6"/>
      <c r="K35" s="6"/>
      <c r="L35" s="6"/>
      <c r="M35" s="6"/>
      <c r="N35" s="10"/>
    </row>
    <row r="36" spans="1:14" x14ac:dyDescent="0.55000000000000004">
      <c r="A36" s="10"/>
      <c r="B36" s="10"/>
      <c r="C36" s="10"/>
      <c r="D36" s="6"/>
      <c r="E36" s="6"/>
      <c r="F36" s="6"/>
      <c r="G36" s="6"/>
      <c r="H36" s="6"/>
      <c r="I36" s="6"/>
      <c r="J36" s="6"/>
      <c r="K36" s="6"/>
      <c r="L36" s="6"/>
      <c r="M36" s="6"/>
      <c r="N36" s="10"/>
    </row>
    <row r="37" spans="1:14" x14ac:dyDescent="0.55000000000000004">
      <c r="A37" s="10"/>
      <c r="B37" s="10"/>
      <c r="C37" s="10"/>
      <c r="D37" s="6"/>
      <c r="E37" s="6"/>
      <c r="F37" s="6"/>
      <c r="G37" s="6"/>
      <c r="H37" s="6"/>
      <c r="I37" s="6"/>
      <c r="J37" s="6"/>
      <c r="K37" s="6"/>
      <c r="L37" s="6"/>
      <c r="M37" s="6"/>
      <c r="N37" s="10"/>
    </row>
    <row r="38" spans="1:14" x14ac:dyDescent="0.55000000000000004">
      <c r="A38" s="10"/>
      <c r="B38" s="10"/>
      <c r="C38" s="10"/>
      <c r="D38" s="6"/>
      <c r="E38" s="6"/>
      <c r="F38" s="6"/>
      <c r="G38" s="6"/>
      <c r="H38" s="6"/>
      <c r="I38" s="6"/>
      <c r="J38" s="6"/>
      <c r="K38" s="6"/>
      <c r="L38" s="6"/>
      <c r="M38" s="6"/>
      <c r="N38" s="10"/>
    </row>
    <row r="39" spans="1:14" x14ac:dyDescent="0.55000000000000004">
      <c r="A39" s="10"/>
      <c r="B39" s="10"/>
      <c r="C39" s="10"/>
      <c r="D39" s="6"/>
      <c r="E39" s="6"/>
      <c r="F39" s="6"/>
      <c r="G39" s="6"/>
      <c r="H39" s="6"/>
      <c r="I39" s="6"/>
      <c r="J39" s="6"/>
      <c r="K39" s="6"/>
      <c r="L39" s="6"/>
      <c r="M39" s="6"/>
      <c r="N39" s="10"/>
    </row>
    <row r="40" spans="1:14" x14ac:dyDescent="0.55000000000000004">
      <c r="A40" s="10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10"/>
    </row>
    <row r="41" spans="1:14" x14ac:dyDescent="0.55000000000000004">
      <c r="A41" s="10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10"/>
    </row>
    <row r="42" spans="1:14" x14ac:dyDescent="0.55000000000000004">
      <c r="A42" s="10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10"/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7b790e-ba61-4ef6-a92b-1fcc51ae1f41">
      <Terms xmlns="http://schemas.microsoft.com/office/infopath/2007/PartnerControls"/>
    </lcf76f155ced4ddcb4097134ff3c332f>
    <TaxCatchAll xmlns="3c5961ed-0fc2-4553-879e-694c4022df2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36FA470BECB4083293D2F084AD4B6" ma:contentTypeVersion="12" ma:contentTypeDescription="Create a new document." ma:contentTypeScope="" ma:versionID="2e212a1f7e2d5013b949d898d3e96917">
  <xsd:schema xmlns:xsd="http://www.w3.org/2001/XMLSchema" xmlns:xs="http://www.w3.org/2001/XMLSchema" xmlns:p="http://schemas.microsoft.com/office/2006/metadata/properties" xmlns:ns2="a27b790e-ba61-4ef6-a92b-1fcc51ae1f41" xmlns:ns3="3c5961ed-0fc2-4553-879e-694c4022df27" targetNamespace="http://schemas.microsoft.com/office/2006/metadata/properties" ma:root="true" ma:fieldsID="1bdcc1fe05f23c57cccc4967b07fc8fc" ns2:_="" ns3:_="">
    <xsd:import namespace="a27b790e-ba61-4ef6-a92b-1fcc51ae1f41"/>
    <xsd:import namespace="3c5961ed-0fc2-4553-879e-694c4022df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7b790e-ba61-4ef6-a92b-1fcc51ae1f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d4cd8a-2905-4d15-b5b4-87828886c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5961ed-0fc2-4553-879e-694c4022df2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66e3ea-fa9a-4009-8201-a166ee6a5fea}" ma:internalName="TaxCatchAll" ma:showField="CatchAllData" ma:web="3c5961ed-0fc2-4553-879e-694c4022df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9BF78D-11B2-412A-AA0C-ECD0C3EE66CC}">
  <ds:schemaRefs>
    <ds:schemaRef ds:uri="http://schemas.microsoft.com/office/2006/metadata/properties"/>
    <ds:schemaRef ds:uri="http://schemas.microsoft.com/office/infopath/2007/PartnerControls"/>
    <ds:schemaRef ds:uri="a27b790e-ba61-4ef6-a92b-1fcc51ae1f41"/>
    <ds:schemaRef ds:uri="3c5961ed-0fc2-4553-879e-694c4022df27"/>
  </ds:schemaRefs>
</ds:datastoreItem>
</file>

<file path=customXml/itemProps2.xml><?xml version="1.0" encoding="utf-8"?>
<ds:datastoreItem xmlns:ds="http://schemas.openxmlformats.org/officeDocument/2006/customXml" ds:itemID="{BA831CE0-F86E-42F2-AD0B-9A57A9FE3E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27b790e-ba61-4ef6-a92b-1fcc51ae1f41"/>
    <ds:schemaRef ds:uri="3c5961ed-0fc2-4553-879e-694c4022df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37042C4-66EA-497A-92F3-001C027A82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Original</vt:lpstr>
      <vt:lpstr>Reduced</vt:lpstr>
      <vt:lpstr>LT Rates Reduced</vt:lpstr>
      <vt:lpstr>MS</vt:lpstr>
      <vt:lpstr>Assumptions and notes</vt:lpstr>
      <vt:lpstr>Sheet2</vt:lpstr>
      <vt:lpstr>Agile</vt:lpstr>
      <vt:lpstr>Buffer</vt:lpstr>
      <vt:lpstr>Gov</vt:lpstr>
      <vt:lpstr>Producer</vt:lpstr>
      <vt:lpstr>QA</vt:lpstr>
    </vt:vector>
  </TitlesOfParts>
  <Manager/>
  <Company>Publicis Groupe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Vasiliy Fomichev</dc:creator>
  <cp:keywords/>
  <dc:description/>
  <cp:lastModifiedBy>Pavels Semencuks</cp:lastModifiedBy>
  <cp:revision/>
  <dcterms:created xsi:type="dcterms:W3CDTF">2019-01-30T00:45:44Z</dcterms:created>
  <dcterms:modified xsi:type="dcterms:W3CDTF">2026-02-19T11:00:54Z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0x0101009B036FA470BECB4083293D2F084AD4B6</vt:lpwstr>
  </property>
  <property fmtid="{D5CDD505-2E9C-101B-9397-08002B2CF9AE}" pid="3" name="MediaServiceImageTags">
    <vt:lpwstr/>
  </property>
</Properties>
</file>